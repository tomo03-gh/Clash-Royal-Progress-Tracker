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tomo0\GitHub\Clash-Royal-Progress-Tracker\"/>
    </mc:Choice>
  </mc:AlternateContent>
  <xr:revisionPtr revIDLastSave="0" documentId="13_ncr:1_{425A491A-B18D-4685-A783-240DFFF9E1CB}" xr6:coauthVersionLast="47" xr6:coauthVersionMax="47" xr10:uidLastSave="{00000000-0000-0000-0000-000000000000}"/>
  <bookViews>
    <workbookView xWindow="-108" yWindow="-108" windowWidth="23256" windowHeight="12456" xr2:uid="{E966574D-D122-49E4-894D-9F1AB18463A1}"/>
  </bookViews>
  <sheets>
    <sheet name="Tabelle1" sheetId="1" r:id="rId1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3" i="1" l="1"/>
  <c r="AC31" i="1"/>
  <c r="AC30" i="1"/>
  <c r="AD3" i="1"/>
  <c r="AE3" i="1"/>
  <c r="AF3" i="1"/>
  <c r="AG3" i="1"/>
  <c r="AC3" i="1"/>
  <c r="AE6" i="1" a="1"/>
  <c r="AE6" i="1"/>
  <c r="AC6" i="1" a="1"/>
  <c r="AC6" i="1"/>
  <c r="AF6" i="1" a="1"/>
  <c r="AF6" i="1"/>
  <c r="AD4" i="1" a="1"/>
  <c r="AD4" i="1"/>
  <c r="AG6" i="1" a="1"/>
  <c r="AG6" i="1"/>
  <c r="AD6" i="1" a="1"/>
  <c r="AD6" i="1"/>
  <c r="AC4" i="1" a="1"/>
  <c r="AC4" i="1"/>
  <c r="AE4" i="1" a="1"/>
  <c r="AE4" i="1"/>
  <c r="AG4" i="1" a="1"/>
  <c r="AG4" i="1"/>
  <c r="AF4" i="1" a="1"/>
  <c r="AF4" i="1"/>
  <c r="I122" i="1"/>
  <c r="J122" i="1" s="1"/>
  <c r="K122" i="1"/>
  <c r="O122" i="1"/>
  <c r="P122" i="1"/>
  <c r="I63" i="1"/>
  <c r="J63" i="1" s="1"/>
  <c r="K63" i="1"/>
  <c r="O63" i="1"/>
  <c r="P63" i="1"/>
  <c r="AD8" i="1"/>
  <c r="AE8" i="1"/>
  <c r="AF8" i="1"/>
  <c r="AG8" i="1"/>
  <c r="AC8" i="1"/>
  <c r="I30" i="1"/>
  <c r="J30" i="1" s="1"/>
  <c r="K30" i="1"/>
  <c r="O30" i="1"/>
  <c r="P30" i="1"/>
  <c r="O3" i="1"/>
  <c r="O6" i="1"/>
  <c r="O2" i="1"/>
  <c r="O7" i="1"/>
  <c r="O4" i="1"/>
  <c r="O5" i="1"/>
  <c r="O8" i="1"/>
  <c r="O16" i="1"/>
  <c r="O27" i="1"/>
  <c r="O28" i="1"/>
  <c r="O23" i="1"/>
  <c r="O17" i="1"/>
  <c r="O10" i="1"/>
  <c r="O11" i="1"/>
  <c r="O12" i="1"/>
  <c r="O18" i="1"/>
  <c r="O13" i="1"/>
  <c r="O19" i="1"/>
  <c r="O26" i="1"/>
  <c r="O14" i="1"/>
  <c r="O15" i="1"/>
  <c r="O29" i="1"/>
  <c r="O24" i="1"/>
  <c r="O20" i="1"/>
  <c r="O21" i="1"/>
  <c r="O9" i="1"/>
  <c r="O22" i="1"/>
  <c r="O25" i="1"/>
  <c r="O36" i="1"/>
  <c r="O37" i="1"/>
  <c r="O42" i="1"/>
  <c r="O59" i="1"/>
  <c r="O48" i="1"/>
  <c r="O55" i="1"/>
  <c r="O49" i="1"/>
  <c r="O43" i="1"/>
  <c r="O56" i="1"/>
  <c r="O38" i="1"/>
  <c r="O44" i="1"/>
  <c r="O50" i="1"/>
  <c r="O32" i="1"/>
  <c r="O60" i="1"/>
  <c r="O39" i="1"/>
  <c r="O51" i="1"/>
  <c r="O52" i="1"/>
  <c r="O57" i="1"/>
  <c r="O53" i="1"/>
  <c r="O62" i="1"/>
  <c r="O45" i="1"/>
  <c r="O40" i="1"/>
  <c r="O58" i="1"/>
  <c r="O54" i="1"/>
  <c r="O33" i="1"/>
  <c r="O31" i="1"/>
  <c r="O61" i="1"/>
  <c r="O46" i="1"/>
  <c r="O47" i="1"/>
  <c r="O41" i="1"/>
  <c r="O34" i="1"/>
  <c r="O35" i="1"/>
  <c r="O67" i="1"/>
  <c r="O68" i="1"/>
  <c r="O85" i="1"/>
  <c r="O90" i="1"/>
  <c r="O72" i="1"/>
  <c r="O86" i="1"/>
  <c r="O73" i="1"/>
  <c r="O87" i="1"/>
  <c r="O88" i="1"/>
  <c r="O64" i="1"/>
  <c r="O93" i="1"/>
  <c r="O91" i="1"/>
  <c r="O92" i="1"/>
  <c r="O74" i="1"/>
  <c r="O69" i="1"/>
  <c r="O75" i="1"/>
  <c r="O76" i="1"/>
  <c r="O77" i="1"/>
  <c r="O78" i="1"/>
  <c r="O79" i="1"/>
  <c r="O65" i="1"/>
  <c r="O80" i="1"/>
  <c r="O89" i="1"/>
  <c r="O81" i="1"/>
  <c r="O82" i="1"/>
  <c r="O83" i="1"/>
  <c r="O84" i="1"/>
  <c r="O70" i="1"/>
  <c r="O71" i="1"/>
  <c r="O66" i="1"/>
  <c r="O104" i="1"/>
  <c r="O98" i="1"/>
  <c r="O105" i="1"/>
  <c r="O99" i="1"/>
  <c r="O100" i="1"/>
  <c r="O116" i="1"/>
  <c r="O101" i="1"/>
  <c r="O119" i="1"/>
  <c r="O113" i="1"/>
  <c r="O120" i="1"/>
  <c r="O114" i="1"/>
  <c r="O106" i="1"/>
  <c r="O117" i="1"/>
  <c r="O107" i="1"/>
  <c r="O108" i="1"/>
  <c r="O94" i="1"/>
  <c r="O121" i="1"/>
  <c r="O115" i="1"/>
  <c r="O118" i="1"/>
  <c r="O109" i="1"/>
  <c r="O110" i="1"/>
  <c r="O102" i="1"/>
  <c r="O95" i="1"/>
  <c r="O96" i="1"/>
  <c r="O111" i="1"/>
  <c r="O112" i="1"/>
  <c r="O103" i="1"/>
  <c r="O97" i="1"/>
  <c r="O123" i="1"/>
  <c r="I3" i="1"/>
  <c r="J3" i="1" s="1"/>
  <c r="I6" i="1"/>
  <c r="J6" i="1" s="1"/>
  <c r="I2" i="1"/>
  <c r="J2" i="1" s="1"/>
  <c r="I7" i="1"/>
  <c r="J7" i="1" s="1"/>
  <c r="I4" i="1"/>
  <c r="J4" i="1" s="1"/>
  <c r="I5" i="1"/>
  <c r="J5" i="1" s="1"/>
  <c r="I8" i="1"/>
  <c r="J8" i="1" s="1"/>
  <c r="I16" i="1"/>
  <c r="J16" i="1" s="1"/>
  <c r="I27" i="1"/>
  <c r="J27" i="1" s="1"/>
  <c r="I28" i="1"/>
  <c r="J28" i="1" s="1"/>
  <c r="I23" i="1"/>
  <c r="J23" i="1" s="1"/>
  <c r="I17" i="1"/>
  <c r="J17" i="1" s="1"/>
  <c r="I10" i="1"/>
  <c r="J10" i="1" s="1"/>
  <c r="I11" i="1"/>
  <c r="J11" i="1" s="1"/>
  <c r="I12" i="1"/>
  <c r="J12" i="1" s="1"/>
  <c r="I18" i="1"/>
  <c r="J18" i="1" s="1"/>
  <c r="I13" i="1"/>
  <c r="J13" i="1" s="1"/>
  <c r="I19" i="1"/>
  <c r="J19" i="1" s="1"/>
  <c r="I26" i="1"/>
  <c r="J26" i="1" s="1"/>
  <c r="I14" i="1"/>
  <c r="J14" i="1" s="1"/>
  <c r="I15" i="1"/>
  <c r="J15" i="1" s="1"/>
  <c r="I29" i="1"/>
  <c r="J29" i="1" s="1"/>
  <c r="I24" i="1"/>
  <c r="J24" i="1" s="1"/>
  <c r="I20" i="1"/>
  <c r="J20" i="1" s="1"/>
  <c r="I21" i="1"/>
  <c r="J21" i="1" s="1"/>
  <c r="I9" i="1"/>
  <c r="J9" i="1" s="1"/>
  <c r="I22" i="1"/>
  <c r="J22" i="1" s="1"/>
  <c r="I25" i="1"/>
  <c r="J25" i="1" s="1"/>
  <c r="I36" i="1"/>
  <c r="J36" i="1" s="1"/>
  <c r="I37" i="1"/>
  <c r="J37" i="1" s="1"/>
  <c r="I42" i="1"/>
  <c r="J42" i="1" s="1"/>
  <c r="I59" i="1"/>
  <c r="J59" i="1" s="1"/>
  <c r="I48" i="1"/>
  <c r="J48" i="1" s="1"/>
  <c r="I55" i="1"/>
  <c r="J55" i="1" s="1"/>
  <c r="I49" i="1"/>
  <c r="J49" i="1" s="1"/>
  <c r="I43" i="1"/>
  <c r="J43" i="1" s="1"/>
  <c r="I56" i="1"/>
  <c r="J56" i="1" s="1"/>
  <c r="I38" i="1"/>
  <c r="J38" i="1" s="1"/>
  <c r="I44" i="1"/>
  <c r="J44" i="1" s="1"/>
  <c r="I50" i="1"/>
  <c r="J50" i="1" s="1"/>
  <c r="I32" i="1"/>
  <c r="J32" i="1" s="1"/>
  <c r="I60" i="1"/>
  <c r="J60" i="1" s="1"/>
  <c r="I39" i="1"/>
  <c r="J39" i="1" s="1"/>
  <c r="I51" i="1"/>
  <c r="J51" i="1" s="1"/>
  <c r="I52" i="1"/>
  <c r="J52" i="1" s="1"/>
  <c r="I57" i="1"/>
  <c r="J57" i="1" s="1"/>
  <c r="I53" i="1"/>
  <c r="J53" i="1" s="1"/>
  <c r="I62" i="1"/>
  <c r="J62" i="1" s="1"/>
  <c r="I45" i="1"/>
  <c r="J45" i="1" s="1"/>
  <c r="I40" i="1"/>
  <c r="J40" i="1" s="1"/>
  <c r="I58" i="1"/>
  <c r="J58" i="1" s="1"/>
  <c r="I54" i="1"/>
  <c r="J54" i="1" s="1"/>
  <c r="I33" i="1"/>
  <c r="J33" i="1" s="1"/>
  <c r="I31" i="1"/>
  <c r="J31" i="1" s="1"/>
  <c r="I61" i="1"/>
  <c r="J61" i="1" s="1"/>
  <c r="I46" i="1"/>
  <c r="J46" i="1" s="1"/>
  <c r="I47" i="1"/>
  <c r="J47" i="1" s="1"/>
  <c r="I41" i="1"/>
  <c r="J41" i="1" s="1"/>
  <c r="I34" i="1"/>
  <c r="J34" i="1" s="1"/>
  <c r="I35" i="1"/>
  <c r="J35" i="1" s="1"/>
  <c r="I67" i="1"/>
  <c r="J67" i="1" s="1"/>
  <c r="I68" i="1"/>
  <c r="J68" i="1" s="1"/>
  <c r="I85" i="1"/>
  <c r="J85" i="1" s="1"/>
  <c r="I90" i="1"/>
  <c r="J90" i="1" s="1"/>
  <c r="I72" i="1"/>
  <c r="J72" i="1" s="1"/>
  <c r="I86" i="1"/>
  <c r="J86" i="1" s="1"/>
  <c r="I73" i="1"/>
  <c r="J73" i="1" s="1"/>
  <c r="I87" i="1"/>
  <c r="J87" i="1" s="1"/>
  <c r="I88" i="1"/>
  <c r="J88" i="1" s="1"/>
  <c r="I64" i="1"/>
  <c r="J64" i="1" s="1"/>
  <c r="I93" i="1"/>
  <c r="J93" i="1" s="1"/>
  <c r="I91" i="1"/>
  <c r="J91" i="1" s="1"/>
  <c r="I92" i="1"/>
  <c r="J92" i="1" s="1"/>
  <c r="I74" i="1"/>
  <c r="J74" i="1" s="1"/>
  <c r="I69" i="1"/>
  <c r="J69" i="1" s="1"/>
  <c r="I75" i="1"/>
  <c r="J75" i="1" s="1"/>
  <c r="I76" i="1"/>
  <c r="J76" i="1" s="1"/>
  <c r="I77" i="1"/>
  <c r="J77" i="1" s="1"/>
  <c r="I78" i="1"/>
  <c r="J78" i="1" s="1"/>
  <c r="I79" i="1"/>
  <c r="J79" i="1" s="1"/>
  <c r="I65" i="1"/>
  <c r="J65" i="1" s="1"/>
  <c r="I80" i="1"/>
  <c r="J80" i="1" s="1"/>
  <c r="I89" i="1"/>
  <c r="J89" i="1" s="1"/>
  <c r="I81" i="1"/>
  <c r="J81" i="1" s="1"/>
  <c r="I82" i="1"/>
  <c r="J82" i="1" s="1"/>
  <c r="I83" i="1"/>
  <c r="J83" i="1" s="1"/>
  <c r="I84" i="1"/>
  <c r="J84" i="1" s="1"/>
  <c r="I70" i="1"/>
  <c r="J70" i="1" s="1"/>
  <c r="I71" i="1"/>
  <c r="J71" i="1" s="1"/>
  <c r="I66" i="1"/>
  <c r="J66" i="1" s="1"/>
  <c r="I104" i="1"/>
  <c r="J104" i="1" s="1"/>
  <c r="I98" i="1"/>
  <c r="J98" i="1" s="1"/>
  <c r="I105" i="1"/>
  <c r="J105" i="1" s="1"/>
  <c r="I99" i="1"/>
  <c r="J99" i="1" s="1"/>
  <c r="I100" i="1"/>
  <c r="J100" i="1" s="1"/>
  <c r="I116" i="1"/>
  <c r="J116" i="1" s="1"/>
  <c r="I101" i="1"/>
  <c r="J101" i="1" s="1"/>
  <c r="I119" i="1"/>
  <c r="J119" i="1" s="1"/>
  <c r="I113" i="1"/>
  <c r="J113" i="1" s="1"/>
  <c r="I120" i="1"/>
  <c r="J120" i="1" s="1"/>
  <c r="I114" i="1"/>
  <c r="J114" i="1" s="1"/>
  <c r="I106" i="1"/>
  <c r="J106" i="1" s="1"/>
  <c r="I117" i="1"/>
  <c r="J117" i="1" s="1"/>
  <c r="I107" i="1"/>
  <c r="J107" i="1" s="1"/>
  <c r="I108" i="1"/>
  <c r="J108" i="1" s="1"/>
  <c r="I94" i="1"/>
  <c r="J94" i="1" s="1"/>
  <c r="I121" i="1"/>
  <c r="J121" i="1" s="1"/>
  <c r="I115" i="1"/>
  <c r="J115" i="1" s="1"/>
  <c r="I118" i="1"/>
  <c r="J118" i="1" s="1"/>
  <c r="I109" i="1"/>
  <c r="J109" i="1" s="1"/>
  <c r="I110" i="1"/>
  <c r="J110" i="1" s="1"/>
  <c r="I102" i="1"/>
  <c r="J102" i="1" s="1"/>
  <c r="I95" i="1"/>
  <c r="J95" i="1" s="1"/>
  <c r="I96" i="1"/>
  <c r="J96" i="1" s="1"/>
  <c r="I111" i="1"/>
  <c r="J111" i="1" s="1"/>
  <c r="I112" i="1"/>
  <c r="J112" i="1" s="1"/>
  <c r="I103" i="1"/>
  <c r="J103" i="1" s="1"/>
  <c r="I97" i="1"/>
  <c r="J97" i="1" s="1"/>
  <c r="I123" i="1"/>
  <c r="J123" i="1" s="1"/>
  <c r="P3" i="1"/>
  <c r="P6" i="1"/>
  <c r="P2" i="1"/>
  <c r="P7" i="1"/>
  <c r="P4" i="1"/>
  <c r="P5" i="1"/>
  <c r="P8" i="1"/>
  <c r="P16" i="1"/>
  <c r="P27" i="1"/>
  <c r="P28" i="1"/>
  <c r="P23" i="1"/>
  <c r="P17" i="1"/>
  <c r="P10" i="1"/>
  <c r="P11" i="1"/>
  <c r="P12" i="1"/>
  <c r="P18" i="1"/>
  <c r="P13" i="1"/>
  <c r="P19" i="1"/>
  <c r="P26" i="1"/>
  <c r="P14" i="1"/>
  <c r="P15" i="1"/>
  <c r="P29" i="1"/>
  <c r="P24" i="1"/>
  <c r="P20" i="1"/>
  <c r="P21" i="1"/>
  <c r="P9" i="1"/>
  <c r="P22" i="1"/>
  <c r="P25" i="1"/>
  <c r="P36" i="1"/>
  <c r="P37" i="1"/>
  <c r="P42" i="1"/>
  <c r="P59" i="1"/>
  <c r="P48" i="1"/>
  <c r="P55" i="1"/>
  <c r="P49" i="1"/>
  <c r="P43" i="1"/>
  <c r="P56" i="1"/>
  <c r="P38" i="1"/>
  <c r="P44" i="1"/>
  <c r="P50" i="1"/>
  <c r="P32" i="1"/>
  <c r="P60" i="1"/>
  <c r="P39" i="1"/>
  <c r="P51" i="1"/>
  <c r="P52" i="1"/>
  <c r="P57" i="1"/>
  <c r="P53" i="1"/>
  <c r="P62" i="1"/>
  <c r="P45" i="1"/>
  <c r="P40" i="1"/>
  <c r="P58" i="1"/>
  <c r="P54" i="1"/>
  <c r="P33" i="1"/>
  <c r="P31" i="1"/>
  <c r="P61" i="1"/>
  <c r="P46" i="1"/>
  <c r="P47" i="1"/>
  <c r="P41" i="1"/>
  <c r="P34" i="1"/>
  <c r="P35" i="1"/>
  <c r="P67" i="1"/>
  <c r="P68" i="1"/>
  <c r="P85" i="1"/>
  <c r="P90" i="1"/>
  <c r="P72" i="1"/>
  <c r="P86" i="1"/>
  <c r="P73" i="1"/>
  <c r="P87" i="1"/>
  <c r="P88" i="1"/>
  <c r="P64" i="1"/>
  <c r="P93" i="1"/>
  <c r="P91" i="1"/>
  <c r="P92" i="1"/>
  <c r="P74" i="1"/>
  <c r="P69" i="1"/>
  <c r="P75" i="1"/>
  <c r="P76" i="1"/>
  <c r="P77" i="1"/>
  <c r="P78" i="1"/>
  <c r="P79" i="1"/>
  <c r="P65" i="1"/>
  <c r="P80" i="1"/>
  <c r="P89" i="1"/>
  <c r="P81" i="1"/>
  <c r="P82" i="1"/>
  <c r="P83" i="1"/>
  <c r="P84" i="1"/>
  <c r="P70" i="1"/>
  <c r="P71" i="1"/>
  <c r="P66" i="1"/>
  <c r="P104" i="1"/>
  <c r="P98" i="1"/>
  <c r="P105" i="1"/>
  <c r="P99" i="1"/>
  <c r="P100" i="1"/>
  <c r="P116" i="1"/>
  <c r="P101" i="1"/>
  <c r="P119" i="1"/>
  <c r="P113" i="1"/>
  <c r="P120" i="1"/>
  <c r="P114" i="1"/>
  <c r="P106" i="1"/>
  <c r="P117" i="1"/>
  <c r="P107" i="1"/>
  <c r="P108" i="1"/>
  <c r="P94" i="1"/>
  <c r="P121" i="1"/>
  <c r="P115" i="1"/>
  <c r="P118" i="1"/>
  <c r="P109" i="1"/>
  <c r="P110" i="1"/>
  <c r="P102" i="1"/>
  <c r="P95" i="1"/>
  <c r="P96" i="1"/>
  <c r="P111" i="1"/>
  <c r="P112" i="1"/>
  <c r="P103" i="1"/>
  <c r="P97" i="1"/>
  <c r="P123" i="1"/>
  <c r="K78" i="1"/>
  <c r="K107" i="1"/>
  <c r="K79" i="1"/>
  <c r="K65" i="1"/>
  <c r="K58" i="1"/>
  <c r="K54" i="1"/>
  <c r="K33" i="1"/>
  <c r="K80" i="1"/>
  <c r="K108" i="1"/>
  <c r="K94" i="1"/>
  <c r="K89" i="1"/>
  <c r="K81" i="1"/>
  <c r="K121" i="1"/>
  <c r="K115" i="1"/>
  <c r="K21" i="1"/>
  <c r="K9" i="1"/>
  <c r="K31" i="1"/>
  <c r="K82" i="1"/>
  <c r="K118" i="1"/>
  <c r="K109" i="1"/>
  <c r="K110" i="1"/>
  <c r="K102" i="1"/>
  <c r="K95" i="1"/>
  <c r="K96" i="1"/>
  <c r="K22" i="1"/>
  <c r="K61" i="1"/>
  <c r="K46" i="1"/>
  <c r="K47" i="1"/>
  <c r="K41" i="1"/>
  <c r="K34" i="1"/>
  <c r="K83" i="1"/>
  <c r="K84" i="1"/>
  <c r="K70" i="1"/>
  <c r="K71" i="1"/>
  <c r="K111" i="1"/>
  <c r="K112" i="1"/>
  <c r="K103" i="1"/>
  <c r="K97" i="1"/>
  <c r="K29" i="1"/>
  <c r="K62" i="1"/>
  <c r="K123" i="1"/>
  <c r="K67" i="1"/>
  <c r="K68" i="1"/>
  <c r="K104" i="1"/>
  <c r="K98" i="1"/>
  <c r="K36" i="1"/>
  <c r="K3" i="1"/>
  <c r="K37" i="1"/>
  <c r="K106" i="1"/>
  <c r="K85" i="1"/>
  <c r="K105" i="1"/>
  <c r="K99" i="1"/>
  <c r="K100" i="1"/>
  <c r="K90" i="1"/>
  <c r="K42" i="1"/>
  <c r="K59" i="1"/>
  <c r="K48" i="1"/>
  <c r="K72" i="1"/>
  <c r="K55" i="1"/>
  <c r="K86" i="1"/>
  <c r="K38" i="1"/>
  <c r="K44" i="1"/>
  <c r="K27" i="1"/>
  <c r="K28" i="1"/>
  <c r="K50" i="1"/>
  <c r="K32" i="1"/>
  <c r="K6" i="1"/>
  <c r="K2" i="1"/>
  <c r="K16" i="1"/>
  <c r="K23" i="1"/>
  <c r="K7" i="1"/>
  <c r="K4" i="1"/>
  <c r="K5" i="1"/>
  <c r="K116" i="1"/>
  <c r="K60" i="1"/>
  <c r="K39" i="1"/>
  <c r="K51" i="1"/>
  <c r="K10" i="1"/>
  <c r="K11" i="1"/>
  <c r="K12" i="1"/>
  <c r="K8" i="1"/>
  <c r="K18" i="1"/>
  <c r="K13" i="1"/>
  <c r="K19" i="1"/>
  <c r="K117" i="1"/>
  <c r="K101" i="1"/>
  <c r="K119" i="1"/>
  <c r="K113" i="1"/>
  <c r="K73" i="1"/>
  <c r="K49" i="1"/>
  <c r="K87" i="1"/>
  <c r="K88" i="1"/>
  <c r="K64" i="1"/>
  <c r="K43" i="1"/>
  <c r="K75" i="1"/>
  <c r="K52" i="1"/>
  <c r="K17" i="1"/>
  <c r="K26" i="1"/>
  <c r="K14" i="1"/>
  <c r="K15" i="1"/>
  <c r="K24" i="1"/>
  <c r="K40" i="1"/>
  <c r="K20" i="1"/>
  <c r="K120" i="1"/>
  <c r="K114" i="1"/>
  <c r="K93" i="1"/>
  <c r="K91" i="1"/>
  <c r="K92" i="1"/>
  <c r="K74" i="1"/>
  <c r="K56" i="1"/>
  <c r="K57" i="1"/>
  <c r="K53" i="1"/>
  <c r="K45" i="1"/>
  <c r="K77" i="1"/>
  <c r="K25" i="1"/>
  <c r="K69" i="1"/>
  <c r="K35" i="1"/>
  <c r="K76" i="1"/>
  <c r="K66" i="1"/>
  <c r="L103" i="1" a="1"/>
  <c r="L58" i="1" a="1"/>
  <c r="L104" i="1" a="1"/>
  <c r="L115" i="1" a="1"/>
  <c r="L112" i="1" a="1"/>
  <c r="L121" i="1" a="1"/>
  <c r="L71" i="1" a="1"/>
  <c r="L19" i="1" a="1"/>
  <c r="L106" i="1" a="1"/>
  <c r="L86" i="1" a="1"/>
  <c r="L69" i="1" a="1"/>
  <c r="L55" i="1" a="1"/>
  <c r="L43" i="1" a="1"/>
  <c r="L28" i="1" a="1"/>
  <c r="L14" i="1" a="1"/>
  <c r="L78" i="1" a="1"/>
  <c r="L102" i="1" a="1"/>
  <c r="L29" i="1" a="1"/>
  <c r="L107" i="1" a="1"/>
  <c r="L2" i="1" a="1"/>
  <c r="L79" i="1" a="1"/>
  <c r="L42" i="1" a="1"/>
  <c r="L101" i="1" a="1"/>
  <c r="L85" i="1" a="1"/>
  <c r="L66" i="1" a="1"/>
  <c r="L53" i="1" a="1"/>
  <c r="L40" i="1" a="1"/>
  <c r="L27" i="1" a="1"/>
  <c r="L13" i="1" a="1"/>
  <c r="L33" i="1" a="1"/>
  <c r="L46" i="1" a="1"/>
  <c r="L123" i="1" a="1"/>
  <c r="L83" i="1" a="1"/>
  <c r="L63" i="1" a="1"/>
  <c r="L38" i="1" a="1"/>
  <c r="L24" i="1" a="1"/>
  <c r="L47" i="1" a="1"/>
  <c r="L91" i="1" a="1"/>
  <c r="L60" i="1" a="1"/>
  <c r="L36" i="1" a="1"/>
  <c r="L7" i="1" a="1"/>
  <c r="L5" i="1" a="1"/>
  <c r="L18" i="1" a="1"/>
  <c r="L90" i="1" a="1"/>
  <c r="L49" i="1" a="1"/>
  <c r="L20" i="1" a="1"/>
  <c r="L25" i="1" a="1"/>
  <c r="L61" i="1" a="1"/>
  <c r="L117" i="1" a="1"/>
  <c r="L57" i="1" a="1"/>
  <c r="L17" i="1" a="1"/>
  <c r="L98" i="1" a="1"/>
  <c r="L109" i="1" a="1"/>
  <c r="L72" i="1" a="1"/>
  <c r="L12" i="1" a="1"/>
  <c r="L34" i="1" a="1"/>
  <c r="L21" i="1" a="1"/>
  <c r="L100" i="1" a="1"/>
  <c r="L9" i="1" a="1"/>
  <c r="L6" i="1" a="1"/>
  <c r="L97" i="1" a="1"/>
  <c r="L22" i="1" a="1"/>
  <c r="L44" i="1" a="1"/>
  <c r="L93" i="1" a="1"/>
  <c r="L77" i="1" a="1"/>
  <c r="L64" i="1" a="1"/>
  <c r="L52" i="1" a="1"/>
  <c r="L39" i="1" a="1"/>
  <c r="L26" i="1" a="1"/>
  <c r="L11" i="1" a="1"/>
  <c r="L54" i="1" a="1"/>
  <c r="L94" i="1" a="1"/>
  <c r="L67" i="1" a="1"/>
  <c r="L8" i="1" a="1"/>
  <c r="L92" i="1" a="1"/>
  <c r="L76" i="1" a="1"/>
  <c r="L51" i="1" a="1"/>
  <c r="L10" i="1" a="1"/>
  <c r="L111" i="1" a="1"/>
  <c r="L75" i="1" a="1"/>
  <c r="L23" i="1" a="1"/>
  <c r="L80" i="1" a="1"/>
  <c r="L37" i="1" a="1"/>
  <c r="L31" i="1" a="1"/>
  <c r="L74" i="1" a="1"/>
  <c r="L35" i="1" a="1"/>
  <c r="L95" i="1" a="1"/>
  <c r="L41" i="1" a="1"/>
  <c r="L88" i="1" a="1"/>
  <c r="L48" i="1" a="1"/>
  <c r="L82" i="1" a="1"/>
  <c r="L81" i="1" a="1"/>
  <c r="L114" i="1" a="1"/>
  <c r="L56" i="1" a="1"/>
  <c r="L15" i="1" a="1"/>
  <c r="L118" i="1" a="1"/>
  <c r="L108" i="1" a="1"/>
  <c r="L65" i="1" a="1"/>
  <c r="L68" i="1" a="1"/>
  <c r="L62" i="1" a="1"/>
  <c r="L96" i="1" a="1"/>
  <c r="L50" i="1" a="1"/>
  <c r="L89" i="1" a="1"/>
  <c r="L122" i="1" a="1"/>
  <c r="L59" i="1" a="1"/>
  <c r="L4" i="1" a="1"/>
  <c r="L70" i="1" a="1"/>
  <c r="L110" i="1" a="1"/>
  <c r="L84" i="1" a="1"/>
  <c r="L73" i="1" a="1"/>
  <c r="L32" i="1" a="1"/>
  <c r="L99" i="1" a="1"/>
  <c r="L16" i="1" a="1"/>
  <c r="L87" i="1" a="1"/>
  <c r="L30" i="1" a="1"/>
  <c r="L3" i="1" a="1"/>
  <c r="L105" i="1" a="1"/>
  <c r="L45" i="1" a="1"/>
  <c r="L116" i="1" a="1"/>
  <c r="L113" i="1" a="1"/>
  <c r="L119" i="1" a="1"/>
  <c r="L120" i="1" a="1"/>
  <c r="AF9" i="1" l="1"/>
  <c r="AF10" i="1" s="1"/>
  <c r="AD9" i="1"/>
  <c r="AD10" i="1" s="1"/>
  <c r="AC9" i="1"/>
  <c r="AC10" i="1" s="1"/>
  <c r="AE9" i="1"/>
  <c r="AE10" i="1" s="1"/>
  <c r="AG9" i="1"/>
  <c r="AG10" i="1" s="1"/>
  <c r="AC5" i="1"/>
  <c r="AD7" i="1"/>
  <c r="AC7" i="1"/>
  <c r="AG5" i="1"/>
  <c r="L122" i="1"/>
  <c r="L63" i="1"/>
  <c r="L25" i="1"/>
  <c r="L27" i="1"/>
  <c r="AG7" i="1"/>
  <c r="AF7" i="1"/>
  <c r="L30" i="1"/>
  <c r="AE5" i="1"/>
  <c r="AE7" i="1"/>
  <c r="AD5" i="1"/>
  <c r="AF5" i="1"/>
  <c r="AC32" i="1"/>
  <c r="AC34" i="1"/>
  <c r="AD31" i="1"/>
  <c r="AD32" i="1" s="1"/>
  <c r="AD33" i="1"/>
  <c r="AD34" i="1" s="1"/>
  <c r="L67" i="1"/>
  <c r="L46" i="1"/>
  <c r="L118" i="1"/>
  <c r="L89" i="1"/>
  <c r="L79" i="1"/>
  <c r="L112" i="1"/>
  <c r="L47" i="1"/>
  <c r="L109" i="1"/>
  <c r="L81" i="1"/>
  <c r="L65" i="1"/>
  <c r="L111" i="1"/>
  <c r="L110" i="1"/>
  <c r="L121" i="1"/>
  <c r="L58" i="1"/>
  <c r="L97" i="1"/>
  <c r="L34" i="1"/>
  <c r="L102" i="1"/>
  <c r="L115" i="1"/>
  <c r="L54" i="1"/>
  <c r="L83" i="1"/>
  <c r="L95" i="1"/>
  <c r="L21" i="1"/>
  <c r="L33" i="1"/>
  <c r="L103" i="1"/>
  <c r="L29" i="1"/>
  <c r="L84" i="1"/>
  <c r="L96" i="1"/>
  <c r="L9" i="1"/>
  <c r="L80" i="1"/>
  <c r="L41" i="1"/>
  <c r="L62" i="1"/>
  <c r="L70" i="1"/>
  <c r="L22" i="1"/>
  <c r="L31" i="1"/>
  <c r="L108" i="1"/>
  <c r="L78" i="1"/>
  <c r="L123" i="1"/>
  <c r="L71" i="1"/>
  <c r="L61" i="1"/>
  <c r="L82" i="1"/>
  <c r="L94" i="1"/>
  <c r="L107" i="1"/>
  <c r="L35" i="1"/>
  <c r="L24" i="1"/>
  <c r="L117" i="1"/>
  <c r="L16" i="1"/>
  <c r="L69" i="1"/>
  <c r="L53" i="1"/>
  <c r="L92" i="1"/>
  <c r="L120" i="1"/>
  <c r="L15" i="1"/>
  <c r="L52" i="1"/>
  <c r="L88" i="1"/>
  <c r="L113" i="1"/>
  <c r="L19" i="1"/>
  <c r="L12" i="1"/>
  <c r="L39" i="1"/>
  <c r="L4" i="1"/>
  <c r="L2" i="1"/>
  <c r="L28" i="1"/>
  <c r="L86" i="1"/>
  <c r="L59" i="1"/>
  <c r="L99" i="1"/>
  <c r="L74" i="1"/>
  <c r="L73" i="1"/>
  <c r="L50" i="1"/>
  <c r="L45" i="1"/>
  <c r="L17" i="1"/>
  <c r="L51" i="1"/>
  <c r="L38" i="1"/>
  <c r="L66" i="1"/>
  <c r="L57" i="1"/>
  <c r="L91" i="1"/>
  <c r="L20" i="1"/>
  <c r="L14" i="1"/>
  <c r="L75" i="1"/>
  <c r="L87" i="1"/>
  <c r="L119" i="1"/>
  <c r="L13" i="1"/>
  <c r="L11" i="1"/>
  <c r="L60" i="1"/>
  <c r="L7" i="1"/>
  <c r="L6" i="1"/>
  <c r="L55" i="1"/>
  <c r="L42" i="1"/>
  <c r="L105" i="1"/>
  <c r="L100" i="1"/>
  <c r="L114" i="1"/>
  <c r="L64" i="1"/>
  <c r="L8" i="1"/>
  <c r="L5" i="1"/>
  <c r="L48" i="1"/>
  <c r="L76" i="1"/>
  <c r="L77" i="1"/>
  <c r="L56" i="1"/>
  <c r="L93" i="1"/>
  <c r="L40" i="1"/>
  <c r="L26" i="1"/>
  <c r="L43" i="1"/>
  <c r="L49" i="1"/>
  <c r="L101" i="1"/>
  <c r="L18" i="1"/>
  <c r="L10" i="1"/>
  <c r="L116" i="1"/>
  <c r="L23" i="1"/>
  <c r="L32" i="1"/>
  <c r="L44" i="1"/>
  <c r="L72" i="1"/>
  <c r="L90" i="1"/>
  <c r="L85" i="1"/>
  <c r="L104" i="1"/>
  <c r="L3" i="1"/>
  <c r="L68" i="1"/>
  <c r="L98" i="1"/>
  <c r="L37" i="1"/>
  <c r="L36" i="1"/>
  <c r="L106" i="1"/>
  <c r="N9" i="1" a="1"/>
  <c r="N41" i="1" a="1"/>
  <c r="N54" i="1" a="1"/>
  <c r="N12" i="1" a="1"/>
  <c r="N94" i="1" a="1"/>
  <c r="N2" i="1" a="1"/>
  <c r="N97" i="1" a="1"/>
  <c r="N109" i="1" a="1"/>
  <c r="N92" i="1" a="1"/>
  <c r="N76" i="1" a="1"/>
  <c r="N63" i="1" a="1"/>
  <c r="N51" i="1" a="1"/>
  <c r="N38" i="1" a="1"/>
  <c r="N24" i="1" a="1"/>
  <c r="N10" i="1" a="1"/>
  <c r="N80" i="1" a="1"/>
  <c r="N78" i="1" a="1"/>
  <c r="N118" i="1" a="1"/>
  <c r="N21" i="1" a="1"/>
  <c r="N16" i="1" a="1"/>
  <c r="N111" i="1" a="1"/>
  <c r="N42" i="1" a="1"/>
  <c r="N98" i="1" a="1"/>
  <c r="N91" i="1" a="1"/>
  <c r="N75" i="1" a="1"/>
  <c r="N60" i="1" a="1"/>
  <c r="N50" i="1" a="1"/>
  <c r="N36" i="1" a="1"/>
  <c r="N23" i="1" a="1"/>
  <c r="N7" i="1" a="1"/>
  <c r="N61" i="1" a="1"/>
  <c r="N22" i="1" a="1"/>
  <c r="N8" i="1" a="1"/>
  <c r="N19" i="1" a="1"/>
  <c r="N104" i="1" a="1"/>
  <c r="N62" i="1" a="1"/>
  <c r="N122" i="1" a="1"/>
  <c r="N90" i="1" a="1"/>
  <c r="N74" i="1" a="1"/>
  <c r="N59" i="1" a="1"/>
  <c r="N49" i="1" a="1"/>
  <c r="N35" i="1" a="1"/>
  <c r="N20" i="1" a="1"/>
  <c r="N4" i="1" a="1"/>
  <c r="N31" i="1" a="1"/>
  <c r="N81" i="1" a="1"/>
  <c r="N88" i="1" a="1"/>
  <c r="N57" i="1" a="1"/>
  <c r="N32" i="1" a="1"/>
  <c r="N110" i="1" a="1"/>
  <c r="N71" i="1" a="1"/>
  <c r="N72" i="1" a="1"/>
  <c r="N30" i="1" a="1"/>
  <c r="N105" i="1" a="1"/>
  <c r="N100" i="1" a="1"/>
  <c r="N89" i="1" a="1"/>
  <c r="N86" i="1" a="1"/>
  <c r="N43" i="1" a="1"/>
  <c r="N14" i="1" a="1"/>
  <c r="N103" i="1" a="1"/>
  <c r="N44" i="1" a="1"/>
  <c r="N101" i="1" a="1"/>
  <c r="N53" i="1" a="1"/>
  <c r="N68" i="1" a="1"/>
  <c r="N70" i="1" a="1"/>
  <c r="N79" i="1" a="1"/>
  <c r="N52" i="1" a="1"/>
  <c r="N117" i="1" a="1"/>
  <c r="N84" i="1" a="1"/>
  <c r="N29" i="1" a="1"/>
  <c r="N87" i="1" a="1"/>
  <c r="N15" i="1" a="1"/>
  <c r="N99" i="1" a="1"/>
  <c r="N25" i="1" a="1"/>
  <c r="N58" i="1" a="1"/>
  <c r="N69" i="1" a="1"/>
  <c r="N28" i="1" a="1"/>
  <c r="N112" i="1" a="1"/>
  <c r="N5" i="1" a="1"/>
  <c r="N34" i="1" a="1"/>
  <c r="N85" i="1" a="1"/>
  <c r="N40" i="1" a="1"/>
  <c r="N65" i="1" a="1"/>
  <c r="N64" i="1" a="1"/>
  <c r="N11" i="1" a="1"/>
  <c r="N96" i="1" a="1"/>
  <c r="N3" i="1" a="1"/>
  <c r="N45" i="1" a="1"/>
  <c r="N67" i="1" a="1"/>
  <c r="N102" i="1" a="1"/>
  <c r="N106" i="1" a="1"/>
  <c r="N55" i="1" a="1"/>
  <c r="N6" i="1" a="1"/>
  <c r="N83" i="1" a="1"/>
  <c r="N47" i="1" a="1"/>
  <c r="N66" i="1" a="1"/>
  <c r="N27" i="1" a="1"/>
  <c r="N82" i="1" a="1"/>
  <c r="N37" i="1" a="1"/>
  <c r="N93" i="1" a="1"/>
  <c r="N39" i="1" a="1"/>
  <c r="N95" i="1" a="1"/>
  <c r="N18" i="1" a="1"/>
  <c r="N121" i="1" a="1"/>
  <c r="N107" i="1" a="1"/>
  <c r="N46" i="1" a="1"/>
  <c r="N73" i="1" a="1"/>
  <c r="N48" i="1" a="1"/>
  <c r="N17" i="1" a="1"/>
  <c r="N123" i="1" a="1"/>
  <c r="N33" i="1" a="1"/>
  <c r="N114" i="1" a="1"/>
  <c r="N56" i="1" a="1"/>
  <c r="N13" i="1" a="1"/>
  <c r="N108" i="1" a="1"/>
  <c r="N115" i="1" a="1"/>
  <c r="N77" i="1" a="1"/>
  <c r="N26" i="1" a="1"/>
  <c r="N116" i="1" a="1"/>
  <c r="N113" i="1" a="1"/>
  <c r="N119" i="1" a="1"/>
  <c r="N120" i="1" a="1"/>
  <c r="N122" i="1" l="1"/>
  <c r="M122" i="1"/>
  <c r="N63" i="1"/>
  <c r="M63" i="1"/>
  <c r="N30" i="1"/>
  <c r="M30" i="1"/>
  <c r="N25" i="1"/>
  <c r="N105" i="1"/>
  <c r="N49" i="1"/>
  <c r="N8" i="1"/>
  <c r="N24" i="1"/>
  <c r="N18" i="1"/>
  <c r="N12" i="1"/>
  <c r="N42" i="1"/>
  <c r="N48" i="1"/>
  <c r="N59" i="1"/>
  <c r="N51" i="1"/>
  <c r="N6" i="1"/>
  <c r="N7" i="1"/>
  <c r="N20" i="1"/>
  <c r="N45" i="1"/>
  <c r="N2" i="1"/>
  <c r="N15" i="1"/>
  <c r="N35" i="1"/>
  <c r="N55" i="1"/>
  <c r="N27" i="1"/>
  <c r="N26" i="1"/>
  <c r="N14" i="1"/>
  <c r="N28" i="1"/>
  <c r="N60" i="1"/>
  <c r="N50" i="1"/>
  <c r="N4" i="1"/>
  <c r="N85" i="1"/>
  <c r="N13" i="1"/>
  <c r="N119" i="1"/>
  <c r="N19" i="1"/>
  <c r="N44" i="1"/>
  <c r="N75" i="1"/>
  <c r="N117" i="1"/>
  <c r="N32" i="1"/>
  <c r="N17" i="1"/>
  <c r="N10" i="1"/>
  <c r="N56" i="1"/>
  <c r="N11" i="1"/>
  <c r="N73" i="1"/>
  <c r="N39" i="1"/>
  <c r="M25" i="1"/>
  <c r="M105" i="1"/>
  <c r="M49" i="1"/>
  <c r="M8" i="1"/>
  <c r="M24" i="1"/>
  <c r="M18" i="1"/>
  <c r="M12" i="1"/>
  <c r="M42" i="1"/>
  <c r="M48" i="1"/>
  <c r="M59" i="1"/>
  <c r="M51" i="1"/>
  <c r="M6" i="1"/>
  <c r="M7" i="1"/>
  <c r="M20" i="1"/>
  <c r="M45" i="1"/>
  <c r="M2" i="1"/>
  <c r="M15" i="1"/>
  <c r="M35" i="1"/>
  <c r="M55" i="1"/>
  <c r="M27" i="1"/>
  <c r="M26" i="1"/>
  <c r="M14" i="1"/>
  <c r="M28" i="1"/>
  <c r="M60" i="1"/>
  <c r="M50" i="1"/>
  <c r="M4" i="1"/>
  <c r="M85" i="1"/>
  <c r="M13" i="1"/>
  <c r="M119" i="1"/>
  <c r="M19" i="1"/>
  <c r="M44" i="1"/>
  <c r="M75" i="1"/>
  <c r="M117" i="1"/>
  <c r="M32" i="1"/>
  <c r="M17" i="1"/>
  <c r="M10" i="1"/>
  <c r="M56" i="1"/>
  <c r="M11" i="1"/>
  <c r="M73" i="1"/>
  <c r="M39" i="1"/>
  <c r="N66" i="1"/>
  <c r="M66" i="1"/>
  <c r="N76" i="1"/>
  <c r="M76" i="1"/>
  <c r="N69" i="1"/>
  <c r="M69" i="1"/>
  <c r="N77" i="1"/>
  <c r="M77" i="1"/>
  <c r="N53" i="1"/>
  <c r="M53" i="1"/>
  <c r="N57" i="1"/>
  <c r="M57" i="1"/>
  <c r="N74" i="1"/>
  <c r="M74" i="1"/>
  <c r="N92" i="1"/>
  <c r="M92" i="1"/>
  <c r="N91" i="1"/>
  <c r="M91" i="1"/>
  <c r="N93" i="1"/>
  <c r="M93" i="1"/>
  <c r="N114" i="1"/>
  <c r="M114" i="1"/>
  <c r="N120" i="1"/>
  <c r="M120" i="1"/>
  <c r="N40" i="1"/>
  <c r="M40" i="1"/>
  <c r="N52" i="1"/>
  <c r="M52" i="1"/>
  <c r="N43" i="1"/>
  <c r="M43" i="1"/>
  <c r="N64" i="1"/>
  <c r="M64" i="1"/>
  <c r="N88" i="1"/>
  <c r="M88" i="1"/>
  <c r="N87" i="1"/>
  <c r="M87" i="1"/>
  <c r="N113" i="1"/>
  <c r="M113" i="1"/>
  <c r="N101" i="1"/>
  <c r="M101" i="1"/>
  <c r="N116" i="1"/>
  <c r="M116" i="1"/>
  <c r="N5" i="1"/>
  <c r="M5" i="1"/>
  <c r="N23" i="1"/>
  <c r="M23" i="1"/>
  <c r="N38" i="1"/>
  <c r="M38" i="1"/>
  <c r="N86" i="1"/>
  <c r="M86" i="1"/>
  <c r="N72" i="1"/>
  <c r="M72" i="1"/>
  <c r="N90" i="1"/>
  <c r="M90" i="1"/>
  <c r="N100" i="1"/>
  <c r="M100" i="1"/>
  <c r="N99" i="1"/>
  <c r="M99" i="1"/>
  <c r="N106" i="1"/>
  <c r="M106" i="1"/>
  <c r="N16" i="1"/>
  <c r="M16" i="1"/>
  <c r="N37" i="1"/>
  <c r="M37" i="1"/>
  <c r="N3" i="1"/>
  <c r="M3" i="1"/>
  <c r="N36" i="1"/>
  <c r="M36" i="1"/>
  <c r="N98" i="1"/>
  <c r="M98" i="1"/>
  <c r="N104" i="1"/>
  <c r="M104" i="1"/>
  <c r="N68" i="1"/>
  <c r="M68" i="1"/>
  <c r="N82" i="1"/>
  <c r="N61" i="1"/>
  <c r="N62" i="1"/>
  <c r="N33" i="1"/>
  <c r="N34" i="1"/>
  <c r="N109" i="1"/>
  <c r="N70" i="1"/>
  <c r="N103" i="1"/>
  <c r="N102" i="1"/>
  <c r="N81" i="1"/>
  <c r="N71" i="1"/>
  <c r="N41" i="1"/>
  <c r="N21" i="1"/>
  <c r="N97" i="1"/>
  <c r="N47" i="1"/>
  <c r="N121" i="1"/>
  <c r="N58" i="1"/>
  <c r="N9" i="1"/>
  <c r="N83" i="1"/>
  <c r="N108" i="1"/>
  <c r="N96" i="1"/>
  <c r="N110" i="1"/>
  <c r="N89" i="1"/>
  <c r="N123" i="1"/>
  <c r="N80" i="1"/>
  <c r="N95" i="1"/>
  <c r="N112" i="1"/>
  <c r="N107" i="1"/>
  <c r="N31" i="1"/>
  <c r="N84" i="1"/>
  <c r="N54" i="1"/>
  <c r="N111" i="1"/>
  <c r="N118" i="1"/>
  <c r="N78" i="1"/>
  <c r="N79" i="1"/>
  <c r="N94" i="1"/>
  <c r="N22" i="1"/>
  <c r="N29" i="1"/>
  <c r="N115" i="1"/>
  <c r="N65" i="1"/>
  <c r="N46" i="1"/>
  <c r="M82" i="1"/>
  <c r="M61" i="1"/>
  <c r="M62" i="1"/>
  <c r="M33" i="1"/>
  <c r="M34" i="1"/>
  <c r="M109" i="1"/>
  <c r="M70" i="1"/>
  <c r="M103" i="1"/>
  <c r="M102" i="1"/>
  <c r="M81" i="1"/>
  <c r="M71" i="1"/>
  <c r="M41" i="1"/>
  <c r="M21" i="1"/>
  <c r="M97" i="1"/>
  <c r="M47" i="1"/>
  <c r="M121" i="1"/>
  <c r="M58" i="1"/>
  <c r="M9" i="1"/>
  <c r="M83" i="1"/>
  <c r="M108" i="1"/>
  <c r="M96" i="1"/>
  <c r="M110" i="1"/>
  <c r="M89" i="1"/>
  <c r="M123" i="1"/>
  <c r="M80" i="1"/>
  <c r="M95" i="1"/>
  <c r="M112" i="1"/>
  <c r="M107" i="1"/>
  <c r="M31" i="1"/>
  <c r="M84" i="1"/>
  <c r="M54" i="1"/>
  <c r="M111" i="1"/>
  <c r="M118" i="1"/>
  <c r="M78" i="1"/>
  <c r="M79" i="1"/>
  <c r="M94" i="1"/>
  <c r="M22" i="1"/>
  <c r="M29" i="1"/>
  <c r="M115" i="1"/>
  <c r="M65" i="1"/>
  <c r="M46" i="1"/>
  <c r="N67" i="1"/>
  <c r="M6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<sst xmlns="http://schemas.openxmlformats.org/spreadsheetml/2006/main" count="419" uniqueCount="166">
  <si>
    <t>Level</t>
  </si>
  <si>
    <t>Mega Minion</t>
  </si>
  <si>
    <t>Dart Goblin</t>
  </si>
  <si>
    <t>Knight</t>
  </si>
  <si>
    <t>Bomber</t>
  </si>
  <si>
    <t>Tornado</t>
  </si>
  <si>
    <t>Mighty Miner</t>
  </si>
  <si>
    <t>Rare</t>
  </si>
  <si>
    <t>Common</t>
  </si>
  <si>
    <t>Epic</t>
  </si>
  <si>
    <t>Champion</t>
  </si>
  <si>
    <t>Goblin Barrel</t>
  </si>
  <si>
    <t>Archers</t>
  </si>
  <si>
    <t>Goblin Hut</t>
  </si>
  <si>
    <t>Minions</t>
  </si>
  <si>
    <t>Snowball</t>
  </si>
  <si>
    <t>Bats</t>
  </si>
  <si>
    <t>Rocket</t>
  </si>
  <si>
    <t>Goblin Drill</t>
  </si>
  <si>
    <t>PEKKA</t>
  </si>
  <si>
    <t>Cannon Cart</t>
  </si>
  <si>
    <t>Mini PEKKA</t>
  </si>
  <si>
    <t>X-Bow</t>
  </si>
  <si>
    <t>Giant</t>
  </si>
  <si>
    <t>Clone</t>
  </si>
  <si>
    <t>Freeze</t>
  </si>
  <si>
    <t>Lava Hound</t>
  </si>
  <si>
    <t>Legendary</t>
  </si>
  <si>
    <t>Mega Knight</t>
  </si>
  <si>
    <t>Prince</t>
  </si>
  <si>
    <t>Rage</t>
  </si>
  <si>
    <t>Archer Queen</t>
  </si>
  <si>
    <t>Little Prince</t>
  </si>
  <si>
    <t>Inferno Dragon</t>
  </si>
  <si>
    <t>Graveyard</t>
  </si>
  <si>
    <t>Goblinstein</t>
  </si>
  <si>
    <t>Golden Knight</t>
  </si>
  <si>
    <t>Skeleton King</t>
  </si>
  <si>
    <t>Rascals</t>
  </si>
  <si>
    <t>Skeleton Army</t>
  </si>
  <si>
    <t>Executioner</t>
  </si>
  <si>
    <t>Ice Wizard</t>
  </si>
  <si>
    <t>Bandit</t>
  </si>
  <si>
    <t>Princess</t>
  </si>
  <si>
    <t>Monk</t>
  </si>
  <si>
    <t>Royal Ghost</t>
  </si>
  <si>
    <t>Magic Archer</t>
  </si>
  <si>
    <t>Barbarians</t>
  </si>
  <si>
    <t>Elitebarbarians</t>
  </si>
  <si>
    <t>Skeleton Dragons</t>
  </si>
  <si>
    <t>Zappies</t>
  </si>
  <si>
    <t>Witch</t>
  </si>
  <si>
    <t>Wizard</t>
  </si>
  <si>
    <t>Inferno Tower</t>
  </si>
  <si>
    <t>Healing Spirit</t>
  </si>
  <si>
    <t>Hunter</t>
  </si>
  <si>
    <t>Valkyrie</t>
  </si>
  <si>
    <t>Bowler</t>
  </si>
  <si>
    <t>Phoenix</t>
  </si>
  <si>
    <t>Sparky</t>
  </si>
  <si>
    <t>Fisherman</t>
  </si>
  <si>
    <t>Miner</t>
  </si>
  <si>
    <t>Ram Rider</t>
  </si>
  <si>
    <t>Void</t>
  </si>
  <si>
    <t>Royal Giant</t>
  </si>
  <si>
    <t>Mortar</t>
  </si>
  <si>
    <t>Three Musketers</t>
  </si>
  <si>
    <t>Barbarian Hut</t>
  </si>
  <si>
    <t>Elixier Pump</t>
  </si>
  <si>
    <t>Bomb Tower</t>
  </si>
  <si>
    <t>Lightning</t>
  </si>
  <si>
    <t>Goblin Giant</t>
  </si>
  <si>
    <t>Electro Dragon</t>
  </si>
  <si>
    <t>Dark Prince</t>
  </si>
  <si>
    <t>Goblin Demolisher</t>
  </si>
  <si>
    <t>Goblin Machine</t>
  </si>
  <si>
    <t>Elixier Golem</t>
  </si>
  <si>
    <t>Goblin Spell</t>
  </si>
  <si>
    <t>Battle Healer</t>
  </si>
  <si>
    <t>Suspicious Bush</t>
  </si>
  <si>
    <t>Goblins</t>
  </si>
  <si>
    <t>Cards to level 14</t>
  </si>
  <si>
    <t>cards collected</t>
  </si>
  <si>
    <t>cards needed to level 14</t>
  </si>
  <si>
    <t>Gold to level 14</t>
  </si>
  <si>
    <t>level possible</t>
  </si>
  <si>
    <t>Cards to next level</t>
  </si>
  <si>
    <t>Rarity</t>
  </si>
  <si>
    <t>Cards Name</t>
  </si>
  <si>
    <t>Hog Rider</t>
  </si>
  <si>
    <t>Cannon</t>
  </si>
  <si>
    <t>Musketeer</t>
  </si>
  <si>
    <t>Ice Golem</t>
  </si>
  <si>
    <t>Giant Skeleton</t>
  </si>
  <si>
    <t>Balloon</t>
  </si>
  <si>
    <t>Wall Breaker</t>
  </si>
  <si>
    <t>Goblin Cage</t>
  </si>
  <si>
    <t>Arrwos</t>
  </si>
  <si>
    <t>Skeletons</t>
  </si>
  <si>
    <t>Royal Hogs</t>
  </si>
  <si>
    <t>Fireball</t>
  </si>
  <si>
    <t>Royal Recruits</t>
  </si>
  <si>
    <t>Tesla</t>
  </si>
  <si>
    <t>Lumberjack</t>
  </si>
  <si>
    <t>The Log</t>
  </si>
  <si>
    <t>Mirror</t>
  </si>
  <si>
    <t>Flying Machine</t>
  </si>
  <si>
    <t>Minion Horde</t>
  </si>
  <si>
    <t>Royal Delivery</t>
  </si>
  <si>
    <t>Firecracker</t>
  </si>
  <si>
    <t xml:space="preserve">Zap </t>
  </si>
  <si>
    <t>Ice Spirit</t>
  </si>
  <si>
    <t>Electro Spirit</t>
  </si>
  <si>
    <t>Electro Giant</t>
  </si>
  <si>
    <t>Electro Wizard</t>
  </si>
  <si>
    <t>Night Witch</t>
  </si>
  <si>
    <t>Golem</t>
  </si>
  <si>
    <t>Poison</t>
  </si>
  <si>
    <t>Baby Dragon</t>
  </si>
  <si>
    <t>Guards</t>
  </si>
  <si>
    <t>Barbarian Barrel</t>
  </si>
  <si>
    <t>Furnace</t>
  </si>
  <si>
    <t>Battle Ram</t>
  </si>
  <si>
    <t>Earthquake</t>
  </si>
  <si>
    <t>Tombstone</t>
  </si>
  <si>
    <t>Skeleton Barrel</t>
  </si>
  <si>
    <t>Goblin Gang</t>
  </si>
  <si>
    <t>Spear Goblins</t>
  </si>
  <si>
    <t>Fire Spirit</t>
  </si>
  <si>
    <t>Dagger Duchess</t>
  </si>
  <si>
    <t>Cannoneer</t>
  </si>
  <si>
    <t>Tower Princess</t>
  </si>
  <si>
    <t>Ammount of cards stacked to Level X</t>
  </si>
  <si>
    <t>Gold to Upgrade to Level X</t>
  </si>
  <si>
    <t>Gold</t>
  </si>
  <si>
    <t>Cards total needed</t>
  </si>
  <si>
    <t>dif. Cards</t>
  </si>
  <si>
    <t>total Cards needed</t>
  </si>
  <si>
    <t>total Cards to collect</t>
  </si>
  <si>
    <t>Mother Witch</t>
  </si>
  <si>
    <t>Cards on level 14</t>
  </si>
  <si>
    <t>Cards on level 15</t>
  </si>
  <si>
    <t>Elixier</t>
  </si>
  <si>
    <t>Evolution (Y/N)</t>
  </si>
  <si>
    <t>Evolution-Shards</t>
  </si>
  <si>
    <t>Elite-Joker spend</t>
  </si>
  <si>
    <t>-</t>
  </si>
  <si>
    <t>N</t>
  </si>
  <si>
    <t>Y</t>
  </si>
  <si>
    <t>Percentage on level 14</t>
  </si>
  <si>
    <t>Percentage on level 15</t>
  </si>
  <si>
    <t>Cards collection percent</t>
  </si>
  <si>
    <t>Evolutions</t>
  </si>
  <si>
    <t>Amount Evolutions</t>
  </si>
  <si>
    <t>Evolutions collected</t>
  </si>
  <si>
    <t>Evolutions to collect</t>
  </si>
  <si>
    <t>Amounts</t>
  </si>
  <si>
    <t>Percentages</t>
  </si>
  <si>
    <t>Evolution shards to collect</t>
  </si>
  <si>
    <t>Evolution shards collected</t>
  </si>
  <si>
    <t>Gold needed</t>
  </si>
  <si>
    <t>Evolution-Shards needed</t>
  </si>
  <si>
    <t>Elite-Joker needed</t>
  </si>
  <si>
    <t>Royel Chef</t>
  </si>
  <si>
    <t>Rune Giant</t>
  </si>
  <si>
    <t>Berserker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</si>
</sst>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</cellXfs>
  <cellStyles count="1">
    <cellStyle name="Standard" xfId="0" builtinId="0"/>
  </cellStyles>
  <dxfs count="9"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2" tint="-9.9948118533890809E-2"/>
        </patternFill>
      </fill>
      <border>
        <left/>
        <right/>
        <top/>
        <bottom/>
      </border>
    </dxf>
    <dxf>
      <font>
        <color rgb="FF00B050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Collection percent:</a:t>
            </a:r>
            <a:r>
              <a:rPr lang="en-US" baseline="0"/>
              <a:t> cards of one rarity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Tabelle1!$AB$10</c:f>
              <c:strCache>
                <c:ptCount val="1"/>
                <c:pt idx="0">
                  <c:v>Cards collection percent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Tabelle1!$AC$2:$AG$2</c:f>
              <c:strCache>
                <c:ptCount val="5"/>
                <c:pt idx="0">
                  <c:v>Common</c:v>
                </c:pt>
                <c:pt idx="1">
                  <c:v>Rare</c:v>
                </c:pt>
                <c:pt idx="2">
                  <c:v>Epic</c:v>
                </c:pt>
                <c:pt idx="3">
                  <c:v>Legendary</c:v>
                </c:pt>
                <c:pt idx="4">
                  <c:v>Champion</c:v>
                </c:pt>
              </c:strCache>
            </c:strRef>
          </c:cat>
          <c:val>
            <c:numRef>
              <c:f>Tabelle1!$AC$10:$AG$10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6-4798-9707-1154BE456971}"/>
            </c:ext>
          </c:extLst>
        </c:ser>
        <c:ser>
          <c:idx val="1"/>
          <c:order val="1"/>
          <c:tx>
            <c:strRef>
              <c:f>Tabelle1!$AB$5</c:f>
              <c:strCache>
                <c:ptCount val="1"/>
                <c:pt idx="0">
                  <c:v>Percentage on level 14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Tabelle1!$AC$5:$AG$5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3C-4765-A8EA-11907CB04B26}"/>
            </c:ext>
          </c:extLst>
        </c:ser>
        <c:ser>
          <c:idx val="2"/>
          <c:order val="2"/>
          <c:tx>
            <c:strRef>
              <c:f>Tabelle1!$AB$7</c:f>
              <c:strCache>
                <c:ptCount val="1"/>
                <c:pt idx="0">
                  <c:v>Percentage on level 15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Tabelle1!$AC$7:$AG$7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3C-4765-A8EA-11907CB04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7108239"/>
        <c:axId val="997092399"/>
      </c:barChart>
      <c:catAx>
        <c:axId val="99710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7092399"/>
        <c:crossesAt val="0"/>
        <c:auto val="1"/>
        <c:lblAlgn val="ctr"/>
        <c:lblOffset val="100"/>
        <c:noMultiLvlLbl val="0"/>
      </c:catAx>
      <c:valAx>
        <c:axId val="99709239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710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Evolution percent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chemeClr val="tx2">
                <a:lumMod val="90000"/>
                <a:lumOff val="1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2E7-48E5-ABE4-395F91335DA9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E7-48E5-ABE4-395F91335DA9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2E7-48E5-ABE4-395F91335DA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Tabelle1!$AB$31:$AB$32</c:f>
              <c:strCache>
                <c:ptCount val="2"/>
                <c:pt idx="0">
                  <c:v>Evolution shards collected</c:v>
                </c:pt>
                <c:pt idx="1">
                  <c:v>Evolution shards to collect</c:v>
                </c:pt>
              </c:strCache>
            </c:strRef>
          </c:cat>
          <c:val>
            <c:numRef>
              <c:f>Tabelle1!$AD$31:$AD$32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7-48E5-ABE4-395F91335DA9}"/>
            </c:ext>
          </c:extLst>
        </c:ser>
        <c:ser>
          <c:idx val="1"/>
          <c:order val="1"/>
          <c:spPr>
            <a:solidFill>
              <a:schemeClr val="tx2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2E7-48E5-ABE4-395F91335DA9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2-4E61-B160-E22FD0DC605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2E7-48E5-ABE4-395F91335D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Tabelle1!$AD$33:$AD$34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E7-48E5-ABE4-395F91335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"/>
        <c:holeSize val="4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1908</xdr:colOff>
      <xdr:row>11</xdr:row>
      <xdr:rowOff>8168</xdr:rowOff>
    </xdr:from>
    <xdr:to>
      <xdr:col>32</xdr:col>
      <xdr:colOff>279466</xdr:colOff>
      <xdr:row>25</xdr:row>
      <xdr:rowOff>140280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8E0D86C-8E12-5BA9-577E-B3957EC2D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9769</xdr:colOff>
      <xdr:row>35</xdr:row>
      <xdr:rowOff>15631</xdr:rowOff>
    </xdr:from>
    <xdr:to>
      <xdr:col>31</xdr:col>
      <xdr:colOff>810846</xdr:colOff>
      <xdr:row>54</xdr:row>
      <xdr:rowOff>107461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DBBDD34B-25D9-EEB2-B958-25D36139C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6DE2C-65E3-469F-919C-4DC035CAF400}" name="Tabelle3" displayName="Tabelle3" ref="A1:P123" totalsRowShown="0">
  <autoFilter ref="A1:P123" xr:uid="{4936DE2C-65E3-469F-919C-4DC035CAF400}"/>
  <sortState xmlns:xlrd2="http://schemas.microsoft.com/office/spreadsheetml/2017/richdata2" ref="A2:P123">
    <sortCondition descending="1" ref="B1:B123" customList="Common,Rare,Epic,Legendary,Champion"/>
  </sortState>
  <tableColumns count="16">
    <tableColumn id="1" xr3:uid="{B0048EB3-4B43-4648-BF56-ED7F6627707D}" name="Cards Name"/>
    <tableColumn id="2" xr3:uid="{072DEE04-D3D7-41A6-BD2E-BC2F2620B777}" name="Rarity"/>
    <tableColumn id="16" xr3:uid="{F544B0C0-3EF1-4227-892D-C114974825B7}" name="Evolution (Y/N)"/>
    <tableColumn id="12" xr3:uid="{23BB9FC2-8C49-4B30-8A8E-AED5BBFFC83E}" name="Elixier"/>
    <tableColumn id="3" xr3:uid="{8389F1F2-1EF3-4D48-8C9D-6127FBBB2FBD}" name="Level"/>
    <tableColumn id="4" xr3:uid="{3432B5F3-E555-4E52-BCA8-E9981D4EBBD4}" name="cards collected"/>
    <tableColumn id="13" xr3:uid="{97FC94AA-3383-425E-B0B8-BCC164D88EAD}" name="Elite-Joker spend"/>
    <tableColumn id="11" xr3:uid="{E2F8D684-2F6A-4332-96DC-C01EE65CD1CC}" name="Evolution-Shards"/>
    <tableColumn id="5" xr3:uid="{FFC51069-E73F-4483-B0B0-6B701C5F2BB3}" name="cards needed to level 14" dataDxfId="8">
      <calculatedColumnFormula>SUM(OFFSET($S$3:$S$17, $E2, MATCH($B2, $S$2:$W$2, 0) - 1, 16 - $E2, 1))</calculatedColumnFormula>
    </tableColumn>
    <tableColumn id="6" xr3:uid="{D90E9CAF-3A2C-4BFF-AF9E-9DA118B4C292}" name="Cards to level 14">
      <calculatedColumnFormula>$I2-$F2</calculatedColumnFormula>
    </tableColumn>
    <tableColumn id="7" xr3:uid="{85D28590-84A1-4BD0-9C39-EB2D77C2C4A3}" name="Gold to level 14">
      <calculatedColumnFormula>SUMIFS($S$29:$S$41, $R$29:$R$41, "&gt;" &amp; $E2)</calculatedColumnFormula>
    </tableColumn>
    <tableColumn id="8" xr3:uid="{3909C45F-5705-4FE7-85B6-6BBB58B6BC37}" name="level possible">
      <calculatedColumnFormula array="1">LEVEL_POSSIBLE($E2, $F2, $B2, $S$3:$W$16, $S$2:$W$2)</calculatedColumnFormula>
    </tableColumn>
    <tableColumn id="9" xr3:uid="{E6F162D9-5992-4FED-A489-49AAB10E3425}" name="Gold needed">
      <calculatedColumnFormula>IFERROR(SUM(OFFSET($S$28:$S$41,$E2,0,$L2 - $E2,1)),0)</calculatedColumnFormula>
    </tableColumn>
    <tableColumn id="10" xr3:uid="{B6C1A713-8EB2-45B1-BB5E-D326B3B6ADEB}" name="Cards to next level">
      <calculatedColumnFormula array="1">CARDS_NEEDED($E2, $F2, $B2, $S$3:$W$16, $S$2:$W$2, $L2)</calculatedColumnFormula>
    </tableColumn>
    <tableColumn id="15" xr3:uid="{C2B425FF-D87A-40DD-8976-1466E557E764}" name="Elite-Joker needed" dataDxfId="7">
      <calculatedColumnFormula>IF(E2=15,0,50000-$G2)</calculatedColumnFormula>
    </tableColumn>
    <tableColumn id="18" xr3:uid="{FFF90100-E1F2-439D-AC2D-C68306F6A32D}" name="Evolution-Shards needed" dataDxfId="6">
      <calculatedColumnFormula>6-H2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A36B-43EE-4657-A3BD-AB8103991EA1}">
  <sheetPr codeName="Tabelle1"/>
  <dimension ref="A1:AG123"/>
  <sheetViews>
    <sheetView tabSelected="1" zoomScale="90" zoomScaleNormal="79" workbookViewId="0">
      <selection activeCell="L34" sqref="L34"/>
    </sheetView>
  </sheetViews>
  <sheetFormatPr baseColWidth="10" defaultRowHeight="14.4" x14ac:dyDescent="0.3"/>
  <cols>
    <col min="1" max="1" width="16" bestFit="1" customWidth="1"/>
    <col min="2" max="2" width="9.44140625" bestFit="1" customWidth="1"/>
    <col min="3" max="3" width="17.109375" hidden="1" customWidth="1"/>
    <col min="4" max="4" width="9.44140625" hidden="1" customWidth="1"/>
    <col min="5" max="5" width="8.109375" bestFit="1" customWidth="1"/>
    <col min="6" max="6" width="16.44140625" bestFit="1" customWidth="1"/>
    <col min="7" max="7" width="17.77734375" bestFit="1" customWidth="1"/>
    <col min="8" max="8" width="19.77734375" customWidth="1"/>
    <col min="9" max="9" width="15.6640625" hidden="1" customWidth="1"/>
    <col min="10" max="10" width="17.44140625" bestFit="1" customWidth="1"/>
    <col min="11" max="11" width="16.44140625" bestFit="1" customWidth="1"/>
    <col min="12" max="12" width="15.109375" bestFit="1" customWidth="1"/>
    <col min="13" max="13" width="14.109375" bestFit="1" customWidth="1"/>
    <col min="14" max="15" width="19.109375" bestFit="1" customWidth="1"/>
    <col min="16" max="16" width="24.33203125" bestFit="1" customWidth="1"/>
    <col min="17" max="17" width="17.6640625" bestFit="1" customWidth="1"/>
    <col min="18" max="18" width="17.21875" customWidth="1"/>
    <col min="19" max="19" width="13" customWidth="1"/>
    <col min="20" max="20" width="18.33203125" customWidth="1"/>
    <col min="28" max="28" width="23.6640625" bestFit="1" customWidth="1"/>
    <col min="29" max="29" width="8" customWidth="1"/>
    <col min="30" max="30" width="12" bestFit="1" customWidth="1"/>
    <col min="31" max="31" width="18.44140625" style="2" bestFit="1" customWidth="1"/>
    <col min="32" max="32" width="17.88671875" bestFit="1" customWidth="1"/>
  </cols>
  <sheetData>
    <row r="1" spans="1:33" x14ac:dyDescent="0.3">
      <c r="A1" t="s">
        <v>88</v>
      </c>
      <c r="B1" t="s">
        <v>87</v>
      </c>
      <c r="C1" t="s">
        <v>143</v>
      </c>
      <c r="D1" t="s">
        <v>142</v>
      </c>
      <c r="E1" t="s">
        <v>0</v>
      </c>
      <c r="F1" t="s">
        <v>82</v>
      </c>
      <c r="G1" t="s">
        <v>145</v>
      </c>
      <c r="H1" t="s">
        <v>144</v>
      </c>
      <c r="I1" t="s">
        <v>83</v>
      </c>
      <c r="J1" t="s">
        <v>81</v>
      </c>
      <c r="K1" t="s">
        <v>84</v>
      </c>
      <c r="L1" t="s">
        <v>85</v>
      </c>
      <c r="M1" t="s">
        <v>160</v>
      </c>
      <c r="N1" t="s">
        <v>86</v>
      </c>
      <c r="O1" t="s">
        <v>162</v>
      </c>
      <c r="P1" t="s">
        <v>161</v>
      </c>
      <c r="R1" s="3" t="s">
        <v>132</v>
      </c>
      <c r="S1" s="3"/>
      <c r="T1" s="3"/>
      <c r="U1" s="3"/>
      <c r="V1" s="3"/>
      <c r="W1" s="3"/>
      <c r="X1" s="1"/>
      <c r="Y1" s="1"/>
      <c r="AB1" s="3" t="s">
        <v>135</v>
      </c>
      <c r="AC1" s="3"/>
      <c r="AD1" s="3"/>
      <c r="AE1" s="3"/>
      <c r="AF1" s="3"/>
      <c r="AG1" s="3"/>
    </row>
    <row r="2" spans="1:33" x14ac:dyDescent="0.3">
      <c r="A2" t="s">
        <v>32</v>
      </c>
      <c r="B2" t="s">
        <v>10</v>
      </c>
      <c r="C2" t="s">
        <v>147</v>
      </c>
      <c r="D2">
        <v>3</v>
      </c>
      <c r="E2">
        <v>11</v>
      </c>
      <c r="F2">
        <v>0</v>
      </c>
      <c r="I2">
        <f t="shared" ref="I2:I33" ca="1" si="0">SUM(OFFSET($S$3:$S$17, $E2, MATCH($B2, $S$2:$W$2, 0) - 1, 16 - $E2, 1))</f>
        <v>30</v>
      </c>
      <c r="J2">
        <f t="shared" ref="J2:J33" ca="1" si="1">$I2-$F2</f>
        <v>30</v>
      </c>
      <c r="K2">
        <f t="shared" ref="K2:K33" si="2">SUMIFS($S$29:$S$41, $R$29:$R$41, "&gt;" &amp; $E2)</f>
        <v>210000</v>
      </c>
      <c r="L2" cm="1">
        <f t="array" ref="L2">LEVEL_POSSIBLE($E2, $F2, $B2, $S$3:$W$16, $S$2:$W$2)</f>
        <v>11</v>
      </c>
      <c r="M2">
        <f t="shared" ref="M2:M33" ca="1" si="3">IFERROR(SUM(OFFSET($S$28:$S$41,$E2,0,$L2 - $E2,1)),0)</f>
        <v>0</v>
      </c>
      <c r="N2" cm="1">
        <f t="array" ref="N2">CARDS_NEEDED($E2, $F2, $B2, $S$3:$W$16, $S$2:$W$2, $L2)</f>
        <v>2</v>
      </c>
      <c r="O2">
        <f t="shared" ref="O2:O33" si="4">IF(E2=15,0,50000-$G2)</f>
        <v>50000</v>
      </c>
      <c r="P2">
        <f t="shared" ref="P2:P33" si="5">6-H2</f>
        <v>6</v>
      </c>
      <c r="R2" t="s">
        <v>0</v>
      </c>
      <c r="S2" t="s">
        <v>8</v>
      </c>
      <c r="T2" t="s">
        <v>7</v>
      </c>
      <c r="U2" t="s">
        <v>9</v>
      </c>
      <c r="V2" t="s">
        <v>27</v>
      </c>
      <c r="W2" t="s">
        <v>10</v>
      </c>
      <c r="AB2" t="s">
        <v>87</v>
      </c>
      <c r="AC2" t="s">
        <v>8</v>
      </c>
      <c r="AD2" t="s">
        <v>7</v>
      </c>
      <c r="AE2" t="s">
        <v>9</v>
      </c>
      <c r="AF2" t="s">
        <v>27</v>
      </c>
      <c r="AG2" t="s">
        <v>10</v>
      </c>
    </row>
    <row r="3" spans="1:33" x14ac:dyDescent="0.3">
      <c r="A3" t="s">
        <v>6</v>
      </c>
      <c r="B3" t="s">
        <v>10</v>
      </c>
      <c r="C3" t="s">
        <v>147</v>
      </c>
      <c r="D3">
        <v>4</v>
      </c>
      <c r="E3">
        <v>11</v>
      </c>
      <c r="F3">
        <v>0</v>
      </c>
      <c r="I3">
        <f t="shared" ca="1" si="0"/>
        <v>30</v>
      </c>
      <c r="J3">
        <f t="shared" ca="1" si="1"/>
        <v>30</v>
      </c>
      <c r="K3">
        <f t="shared" si="2"/>
        <v>210000</v>
      </c>
      <c r="L3" cm="1">
        <f t="array" ref="L3">LEVEL_POSSIBLE($E3, $F3, $B3, $S$3:$W$16, $S$2:$W$2)</f>
        <v>11</v>
      </c>
      <c r="M3">
        <f t="shared" ca="1" si="3"/>
        <v>0</v>
      </c>
      <c r="N3" cm="1">
        <f t="array" ref="N3">CARDS_NEEDED($E3, $F3, $B3, $S$3:$W$16, $S$2:$W$2, $L3)</f>
        <v>2</v>
      </c>
      <c r="O3">
        <f t="shared" si="4"/>
        <v>50000</v>
      </c>
      <c r="P3">
        <f t="shared" si="5"/>
        <v>6</v>
      </c>
      <c r="R3">
        <v>1</v>
      </c>
      <c r="S3">
        <v>0</v>
      </c>
      <c r="AB3" t="s">
        <v>136</v>
      </c>
      <c r="AC3">
        <f>COUNTIF($B$2:$B$123,AC$2)</f>
        <v>30</v>
      </c>
      <c r="AD3">
        <f>COUNTIF($B$2:$B$123,AD$2)</f>
        <v>30</v>
      </c>
      <c r="AE3">
        <f>COUNTIF($B$2:$B$123,AE$2)</f>
        <v>33</v>
      </c>
      <c r="AF3">
        <f>COUNTIF($B$2:$B$123,AF$2)</f>
        <v>22</v>
      </c>
      <c r="AG3">
        <f>COUNTIF($B$2:$B$123,AG$2)</f>
        <v>7</v>
      </c>
    </row>
    <row r="4" spans="1:33" x14ac:dyDescent="0.3">
      <c r="A4" t="s">
        <v>36</v>
      </c>
      <c r="B4" t="s">
        <v>10</v>
      </c>
      <c r="C4" t="s">
        <v>147</v>
      </c>
      <c r="D4">
        <v>4</v>
      </c>
      <c r="E4">
        <v>11</v>
      </c>
      <c r="F4">
        <v>0</v>
      </c>
      <c r="I4">
        <f t="shared" ca="1" si="0"/>
        <v>30</v>
      </c>
      <c r="J4">
        <f t="shared" ca="1" si="1"/>
        <v>30</v>
      </c>
      <c r="K4">
        <f t="shared" si="2"/>
        <v>210000</v>
      </c>
      <c r="L4" cm="1">
        <f t="array" ref="L4">LEVEL_POSSIBLE($E4, $F4, $B4, $S$3:$W$16, $S$2:$W$2)</f>
        <v>11</v>
      </c>
      <c r="M4">
        <f t="shared" ca="1" si="3"/>
        <v>0</v>
      </c>
      <c r="N4" cm="1">
        <f t="array" ref="N4">CARDS_NEEDED($E4, $F4, $B4, $S$3:$W$16, $S$2:$W$2, $L4)</f>
        <v>2</v>
      </c>
      <c r="O4">
        <f t="shared" si="4"/>
        <v>50000</v>
      </c>
      <c r="P4">
        <f t="shared" si="5"/>
        <v>6</v>
      </c>
      <c r="R4">
        <v>2</v>
      </c>
      <c r="S4">
        <v>2</v>
      </c>
      <c r="AB4" t="s">
        <v>140</v>
      </c>
      <c r="AC4" cm="1">
        <f t="array" ref="AC4">COUNT_LEVELS_PER_RARITY($E$2:$E$123, 14, AC$2, $B$2:$B$123)</f>
        <v>0</v>
      </c>
      <c r="AD4" cm="1">
        <f t="array" ref="AD4">COUNT_LEVELS_PER_RARITY($E$2:$E$123, 14, AD$2, $B$2:$B$123)</f>
        <v>0</v>
      </c>
      <c r="AE4" cm="1">
        <f t="array" ref="AE4">COUNT_LEVELS_PER_RARITY($E$2:$E$123, 14, AE$2, $B$2:$B$123)</f>
        <v>0</v>
      </c>
      <c r="AF4" cm="1">
        <f t="array" ref="AF4">COUNT_LEVELS_PER_RARITY($E$2:$E$123, 14, AF$2, $B$2:$B$123)</f>
        <v>0</v>
      </c>
      <c r="AG4" cm="1">
        <f t="array" ref="AG4">COUNT_LEVELS_PER_RARITY($E$2:$E$123, 14, AG$2, $B$2:$B$123)</f>
        <v>0</v>
      </c>
    </row>
    <row r="5" spans="1:33" x14ac:dyDescent="0.3">
      <c r="A5" t="s">
        <v>37</v>
      </c>
      <c r="B5" t="s">
        <v>10</v>
      </c>
      <c r="C5" t="s">
        <v>147</v>
      </c>
      <c r="D5">
        <v>4</v>
      </c>
      <c r="E5">
        <v>11</v>
      </c>
      <c r="F5">
        <v>0</v>
      </c>
      <c r="I5">
        <f t="shared" ca="1" si="0"/>
        <v>30</v>
      </c>
      <c r="J5">
        <f t="shared" ca="1" si="1"/>
        <v>30</v>
      </c>
      <c r="K5">
        <f t="shared" si="2"/>
        <v>210000</v>
      </c>
      <c r="L5" cm="1">
        <f t="array" ref="L5">LEVEL_POSSIBLE($E5, $F5, $B5, $S$3:$W$16, $S$2:$W$2)</f>
        <v>11</v>
      </c>
      <c r="M5">
        <f t="shared" ca="1" si="3"/>
        <v>0</v>
      </c>
      <c r="N5" cm="1">
        <f t="array" ref="N5">CARDS_NEEDED($E5, $F5, $B5, $S$3:$W$16, $S$2:$W$2, $L5)</f>
        <v>2</v>
      </c>
      <c r="O5">
        <f t="shared" si="4"/>
        <v>50000</v>
      </c>
      <c r="P5">
        <f t="shared" si="5"/>
        <v>6</v>
      </c>
      <c r="R5">
        <v>3</v>
      </c>
      <c r="S5">
        <v>4</v>
      </c>
      <c r="AB5" t="s">
        <v>149</v>
      </c>
      <c r="AC5">
        <f>AC4/AC3</f>
        <v>0</v>
      </c>
      <c r="AD5">
        <f t="shared" ref="AD5:AG5" si="6">AD4/AD3</f>
        <v>0</v>
      </c>
      <c r="AE5">
        <f t="shared" si="6"/>
        <v>0</v>
      </c>
      <c r="AF5">
        <f t="shared" si="6"/>
        <v>0</v>
      </c>
      <c r="AG5">
        <f t="shared" si="6"/>
        <v>0</v>
      </c>
    </row>
    <row r="6" spans="1:33" x14ac:dyDescent="0.3">
      <c r="A6" t="s">
        <v>31</v>
      </c>
      <c r="B6" t="s">
        <v>10</v>
      </c>
      <c r="C6" t="s">
        <v>147</v>
      </c>
      <c r="D6">
        <v>5</v>
      </c>
      <c r="E6">
        <v>11</v>
      </c>
      <c r="F6">
        <v>0</v>
      </c>
      <c r="I6">
        <f t="shared" ca="1" si="0"/>
        <v>30</v>
      </c>
      <c r="J6">
        <f t="shared" ca="1" si="1"/>
        <v>30</v>
      </c>
      <c r="K6">
        <f t="shared" si="2"/>
        <v>210000</v>
      </c>
      <c r="L6" cm="1">
        <f t="array" ref="L6">LEVEL_POSSIBLE($E6, $F6, $B6, $S$3:$W$16, $S$2:$W$2)</f>
        <v>11</v>
      </c>
      <c r="M6">
        <f t="shared" ca="1" si="3"/>
        <v>0</v>
      </c>
      <c r="N6" cm="1">
        <f t="array" ref="N6">CARDS_NEEDED($E6, $F6, $B6, $S$3:$W$16, $S$2:$W$2, $L6)</f>
        <v>2</v>
      </c>
      <c r="O6">
        <f t="shared" si="4"/>
        <v>50000</v>
      </c>
      <c r="P6">
        <f t="shared" si="5"/>
        <v>6</v>
      </c>
      <c r="R6">
        <v>4</v>
      </c>
      <c r="S6">
        <v>10</v>
      </c>
      <c r="T6">
        <v>2</v>
      </c>
      <c r="AB6" t="s">
        <v>141</v>
      </c>
      <c r="AC6" cm="1">
        <f t="array" ref="AC6">COUNT_LEVELS_PER_RARITY($E$2:$E$123, 15, AC$2, $B$2:$B$123)</f>
        <v>0</v>
      </c>
      <c r="AD6" cm="1">
        <f t="array" ref="AD6">COUNT_LEVELS_PER_RARITY($E$2:$E$123, 15, AD$2, $B$2:$B$123)</f>
        <v>0</v>
      </c>
      <c r="AE6" cm="1">
        <f t="array" ref="AE6">COUNT_LEVELS_PER_RARITY($E$2:$E$123, 15, AE$2, $B$2:$B$123)</f>
        <v>0</v>
      </c>
      <c r="AF6" cm="1">
        <f t="array" ref="AF6">COUNT_LEVELS_PER_RARITY($E$2:$E$123, 15, AF$2, $B$2:$B$123)</f>
        <v>0</v>
      </c>
      <c r="AG6" cm="1">
        <f t="array" ref="AG6">COUNT_LEVELS_PER_RARITY($E$2:$E$123, 15, AG$2, $B$2:$B$123)</f>
        <v>0</v>
      </c>
    </row>
    <row r="7" spans="1:33" x14ac:dyDescent="0.3">
      <c r="A7" t="s">
        <v>35</v>
      </c>
      <c r="B7" t="s">
        <v>10</v>
      </c>
      <c r="C7" t="s">
        <v>147</v>
      </c>
      <c r="D7">
        <v>5</v>
      </c>
      <c r="E7">
        <v>11</v>
      </c>
      <c r="F7">
        <v>0</v>
      </c>
      <c r="I7">
        <f t="shared" ca="1" si="0"/>
        <v>30</v>
      </c>
      <c r="J7">
        <f t="shared" ca="1" si="1"/>
        <v>30</v>
      </c>
      <c r="K7">
        <f t="shared" si="2"/>
        <v>210000</v>
      </c>
      <c r="L7" cm="1">
        <f t="array" ref="L7">LEVEL_POSSIBLE($E7, $F7, $B7, $S$3:$W$16, $S$2:$W$2)</f>
        <v>11</v>
      </c>
      <c r="M7">
        <f t="shared" ca="1" si="3"/>
        <v>0</v>
      </c>
      <c r="N7" cm="1">
        <f t="array" ref="N7">CARDS_NEEDED($E7, $F7, $B7, $S$3:$W$16, $S$2:$W$2, $L7)</f>
        <v>2</v>
      </c>
      <c r="O7">
        <f t="shared" si="4"/>
        <v>50000</v>
      </c>
      <c r="P7">
        <f t="shared" si="5"/>
        <v>6</v>
      </c>
      <c r="R7">
        <v>5</v>
      </c>
      <c r="S7">
        <v>20</v>
      </c>
      <c r="T7">
        <v>4</v>
      </c>
      <c r="AB7" t="s">
        <v>150</v>
      </c>
      <c r="AC7">
        <f>AC6/AC3</f>
        <v>0</v>
      </c>
      <c r="AD7">
        <f t="shared" ref="AD7:AG7" si="7">AD6/AD3</f>
        <v>0</v>
      </c>
      <c r="AE7">
        <f t="shared" si="7"/>
        <v>0</v>
      </c>
      <c r="AF7">
        <f t="shared" si="7"/>
        <v>0</v>
      </c>
      <c r="AG7">
        <f t="shared" si="7"/>
        <v>0</v>
      </c>
    </row>
    <row r="8" spans="1:33" x14ac:dyDescent="0.3">
      <c r="A8" t="s">
        <v>44</v>
      </c>
      <c r="B8" t="s">
        <v>10</v>
      </c>
      <c r="C8" t="s">
        <v>147</v>
      </c>
      <c r="D8">
        <v>5</v>
      </c>
      <c r="E8">
        <v>11</v>
      </c>
      <c r="F8">
        <v>0</v>
      </c>
      <c r="I8">
        <f t="shared" ca="1" si="0"/>
        <v>30</v>
      </c>
      <c r="J8">
        <f t="shared" ca="1" si="1"/>
        <v>30</v>
      </c>
      <c r="K8">
        <f t="shared" si="2"/>
        <v>210000</v>
      </c>
      <c r="L8" cm="1">
        <f t="array" ref="L8">LEVEL_POSSIBLE($E8, $F8, $B8, $S$3:$W$16, $S$2:$W$2)</f>
        <v>11</v>
      </c>
      <c r="M8">
        <f t="shared" ca="1" si="3"/>
        <v>0</v>
      </c>
      <c r="N8" cm="1">
        <f t="array" ref="N8">CARDS_NEEDED($E8, $F8, $B8, $S$3:$W$16, $S$2:$W$2, $L8)</f>
        <v>2</v>
      </c>
      <c r="O8">
        <f t="shared" si="4"/>
        <v>50000</v>
      </c>
      <c r="P8">
        <f t="shared" si="5"/>
        <v>6</v>
      </c>
      <c r="R8">
        <v>6</v>
      </c>
      <c r="S8">
        <v>50</v>
      </c>
      <c r="T8">
        <v>10</v>
      </c>
      <c r="U8">
        <v>0</v>
      </c>
      <c r="AB8" t="s">
        <v>137</v>
      </c>
      <c r="AC8">
        <f>AC3*SUM(S$3:S$16)</f>
        <v>362580</v>
      </c>
      <c r="AD8">
        <f>AD3*SUM(T$3:T$16)</f>
        <v>98580</v>
      </c>
      <c r="AE8">
        <f>AE3*SUM(U$3:U$16)</f>
        <v>14058</v>
      </c>
      <c r="AF8">
        <f>AF3*SUM(V$3:V$16)</f>
        <v>924</v>
      </c>
      <c r="AG8">
        <f>AG3*SUM(W$3:W$16)</f>
        <v>210</v>
      </c>
    </row>
    <row r="9" spans="1:33" x14ac:dyDescent="0.3">
      <c r="A9" t="s">
        <v>104</v>
      </c>
      <c r="B9" t="s">
        <v>27</v>
      </c>
      <c r="C9" t="s">
        <v>147</v>
      </c>
      <c r="D9">
        <v>2</v>
      </c>
      <c r="E9">
        <v>9</v>
      </c>
      <c r="F9">
        <v>0</v>
      </c>
      <c r="I9">
        <f t="shared" ca="1" si="0"/>
        <v>42</v>
      </c>
      <c r="J9">
        <f t="shared" ca="1" si="1"/>
        <v>42</v>
      </c>
      <c r="K9">
        <f t="shared" si="2"/>
        <v>233000</v>
      </c>
      <c r="L9" cm="1">
        <f t="array" ref="L9">LEVEL_POSSIBLE($E9, $F9, $B9, $S$3:$W$16, $S$2:$W$2)</f>
        <v>9</v>
      </c>
      <c r="M9">
        <f t="shared" ca="1" si="3"/>
        <v>0</v>
      </c>
      <c r="N9" cm="1">
        <f t="array" ref="N9">CARDS_NEEDED($E9, $F9, $B9, $S$3:$W$16, $S$2:$W$2, $L9)</f>
        <v>2</v>
      </c>
      <c r="O9">
        <f t="shared" si="4"/>
        <v>50000</v>
      </c>
      <c r="P9">
        <f t="shared" si="5"/>
        <v>6</v>
      </c>
      <c r="R9">
        <v>7</v>
      </c>
      <c r="S9">
        <v>100</v>
      </c>
      <c r="T9">
        <v>20</v>
      </c>
      <c r="U9">
        <v>2</v>
      </c>
      <c r="AB9" t="s">
        <v>138</v>
      </c>
      <c r="AC9">
        <f ca="1">SUMIFS($J$2:$J$123, $B$2:$B$123, AC$2, $J$2:$J$123, "&gt;0")</f>
        <v>362580</v>
      </c>
      <c r="AD9">
        <f t="shared" ref="AD9:AG9" ca="1" si="8">SUMIFS($J$2:$J$123, $B$2:$B$123, AD$2, $J$2:$J$123, "&gt;0")</f>
        <v>98580</v>
      </c>
      <c r="AE9">
        <f t="shared" ca="1" si="8"/>
        <v>14058</v>
      </c>
      <c r="AF9">
        <f t="shared" ca="1" si="8"/>
        <v>924</v>
      </c>
      <c r="AG9">
        <f t="shared" ca="1" si="8"/>
        <v>210</v>
      </c>
    </row>
    <row r="10" spans="1:33" x14ac:dyDescent="0.3">
      <c r="A10" t="s">
        <v>41</v>
      </c>
      <c r="B10" t="s">
        <v>27</v>
      </c>
      <c r="C10" t="s">
        <v>147</v>
      </c>
      <c r="D10">
        <v>3</v>
      </c>
      <c r="E10">
        <v>9</v>
      </c>
      <c r="F10">
        <v>0</v>
      </c>
      <c r="I10">
        <f t="shared" ca="1" si="0"/>
        <v>42</v>
      </c>
      <c r="J10">
        <f t="shared" ca="1" si="1"/>
        <v>42</v>
      </c>
      <c r="K10">
        <f t="shared" si="2"/>
        <v>233000</v>
      </c>
      <c r="L10" cm="1">
        <f t="array" ref="L10">LEVEL_POSSIBLE($E10, $F10, $B10, $S$3:$W$16, $S$2:$W$2)</f>
        <v>9</v>
      </c>
      <c r="M10">
        <f t="shared" ca="1" si="3"/>
        <v>0</v>
      </c>
      <c r="N10" cm="1">
        <f t="array" ref="N10">CARDS_NEEDED($E10, $F10, $B10, $S$3:$W$16, $S$2:$W$2, $L10)</f>
        <v>2</v>
      </c>
      <c r="O10">
        <f t="shared" si="4"/>
        <v>50000</v>
      </c>
      <c r="P10">
        <f t="shared" si="5"/>
        <v>6</v>
      </c>
      <c r="R10">
        <v>8</v>
      </c>
      <c r="S10">
        <v>200</v>
      </c>
      <c r="T10">
        <v>50</v>
      </c>
      <c r="U10">
        <v>4</v>
      </c>
      <c r="AB10" t="s">
        <v>151</v>
      </c>
      <c r="AC10">
        <f ca="1">1 - AC$9/AC$8</f>
        <v>0</v>
      </c>
      <c r="AD10">
        <f ca="1">1 - AD$9/AD$8</f>
        <v>0</v>
      </c>
      <c r="AE10">
        <f ca="1">1 - AE$9/AE$8</f>
        <v>0</v>
      </c>
      <c r="AF10">
        <f ca="1">1 - AF$9/AF$8</f>
        <v>0</v>
      </c>
      <c r="AG10">
        <f ca="1">1 - AG$9/AG$8</f>
        <v>0</v>
      </c>
    </row>
    <row r="11" spans="1:33" x14ac:dyDescent="0.3">
      <c r="A11" t="s">
        <v>42</v>
      </c>
      <c r="B11" t="s">
        <v>27</v>
      </c>
      <c r="C11" t="s">
        <v>147</v>
      </c>
      <c r="D11">
        <v>3</v>
      </c>
      <c r="E11">
        <v>9</v>
      </c>
      <c r="F11">
        <v>0</v>
      </c>
      <c r="I11">
        <f t="shared" ca="1" si="0"/>
        <v>42</v>
      </c>
      <c r="J11">
        <f t="shared" ca="1" si="1"/>
        <v>42</v>
      </c>
      <c r="K11">
        <f t="shared" si="2"/>
        <v>233000</v>
      </c>
      <c r="L11" cm="1">
        <f t="array" ref="L11">LEVEL_POSSIBLE($E11, $F11, $B11, $S$3:$W$16, $S$2:$W$2)</f>
        <v>9</v>
      </c>
      <c r="M11">
        <f t="shared" ca="1" si="3"/>
        <v>0</v>
      </c>
      <c r="N11" cm="1">
        <f t="array" ref="N11">CARDS_NEEDED($E11, $F11, $B11, $S$3:$W$16, $S$2:$W$2, $L11)</f>
        <v>2</v>
      </c>
      <c r="O11">
        <f t="shared" si="4"/>
        <v>50000</v>
      </c>
      <c r="P11">
        <f t="shared" si="5"/>
        <v>6</v>
      </c>
      <c r="R11">
        <v>9</v>
      </c>
      <c r="S11">
        <v>400</v>
      </c>
      <c r="T11">
        <v>100</v>
      </c>
      <c r="U11">
        <v>10</v>
      </c>
      <c r="V11">
        <v>0</v>
      </c>
      <c r="AE11"/>
    </row>
    <row r="12" spans="1:33" x14ac:dyDescent="0.3">
      <c r="A12" t="s">
        <v>43</v>
      </c>
      <c r="B12" t="s">
        <v>27</v>
      </c>
      <c r="C12" t="s">
        <v>147</v>
      </c>
      <c r="D12">
        <v>3</v>
      </c>
      <c r="E12">
        <v>9</v>
      </c>
      <c r="F12">
        <v>0</v>
      </c>
      <c r="I12">
        <f t="shared" ca="1" si="0"/>
        <v>42</v>
      </c>
      <c r="J12">
        <f t="shared" ca="1" si="1"/>
        <v>42</v>
      </c>
      <c r="K12">
        <f t="shared" si="2"/>
        <v>233000</v>
      </c>
      <c r="L12" cm="1">
        <f t="array" ref="L12">LEVEL_POSSIBLE($E12, $F12, $B12, $S$3:$W$16, $S$2:$W$2)</f>
        <v>9</v>
      </c>
      <c r="M12">
        <f t="shared" ca="1" si="3"/>
        <v>0</v>
      </c>
      <c r="N12" cm="1">
        <f t="array" ref="N12">CARDS_NEEDED($E12, $F12, $B12, $S$3:$W$16, $S$2:$W$2, $L12)</f>
        <v>2</v>
      </c>
      <c r="O12">
        <f t="shared" si="4"/>
        <v>50000</v>
      </c>
      <c r="P12">
        <f t="shared" si="5"/>
        <v>6</v>
      </c>
      <c r="R12">
        <v>10</v>
      </c>
      <c r="S12">
        <v>800</v>
      </c>
      <c r="T12">
        <v>200</v>
      </c>
      <c r="U12">
        <v>20</v>
      </c>
      <c r="V12">
        <v>2</v>
      </c>
      <c r="AE12"/>
    </row>
    <row r="13" spans="1:33" x14ac:dyDescent="0.3">
      <c r="A13" t="s">
        <v>45</v>
      </c>
      <c r="B13" t="s">
        <v>27</v>
      </c>
      <c r="C13" t="s">
        <v>147</v>
      </c>
      <c r="D13">
        <v>3</v>
      </c>
      <c r="E13">
        <v>9</v>
      </c>
      <c r="F13">
        <v>0</v>
      </c>
      <c r="I13">
        <f t="shared" ca="1" si="0"/>
        <v>42</v>
      </c>
      <c r="J13">
        <f t="shared" ca="1" si="1"/>
        <v>42</v>
      </c>
      <c r="K13">
        <f t="shared" si="2"/>
        <v>233000</v>
      </c>
      <c r="L13" cm="1">
        <f t="array" ref="L13">LEVEL_POSSIBLE($E13, $F13, $B13, $S$3:$W$16, $S$2:$W$2)</f>
        <v>9</v>
      </c>
      <c r="M13">
        <f t="shared" ca="1" si="3"/>
        <v>0</v>
      </c>
      <c r="N13" cm="1">
        <f t="array" ref="N13">CARDS_NEEDED($E13, $F13, $B13, $S$3:$W$16, $S$2:$W$2, $L13)</f>
        <v>2</v>
      </c>
      <c r="O13">
        <f t="shared" si="4"/>
        <v>50000</v>
      </c>
      <c r="P13">
        <f t="shared" si="5"/>
        <v>6</v>
      </c>
      <c r="R13">
        <v>11</v>
      </c>
      <c r="S13">
        <v>1000</v>
      </c>
      <c r="T13">
        <v>400</v>
      </c>
      <c r="U13">
        <v>40</v>
      </c>
      <c r="V13">
        <v>4</v>
      </c>
      <c r="AE13"/>
    </row>
    <row r="14" spans="1:33" x14ac:dyDescent="0.3">
      <c r="A14" t="s">
        <v>60</v>
      </c>
      <c r="B14" t="s">
        <v>27</v>
      </c>
      <c r="C14" t="s">
        <v>147</v>
      </c>
      <c r="D14">
        <v>3</v>
      </c>
      <c r="E14">
        <v>9</v>
      </c>
      <c r="F14">
        <v>0</v>
      </c>
      <c r="I14">
        <f t="shared" ca="1" si="0"/>
        <v>42</v>
      </c>
      <c r="J14">
        <f t="shared" ca="1" si="1"/>
        <v>42</v>
      </c>
      <c r="K14">
        <f t="shared" si="2"/>
        <v>233000</v>
      </c>
      <c r="L14" cm="1">
        <f t="array" ref="L14">LEVEL_POSSIBLE($E14, $F14, $B14, $S$3:$W$16, $S$2:$W$2)</f>
        <v>9</v>
      </c>
      <c r="M14">
        <f t="shared" ca="1" si="3"/>
        <v>0</v>
      </c>
      <c r="N14" cm="1">
        <f t="array" ref="N14">CARDS_NEEDED($E14, $F14, $B14, $S$3:$W$16, $S$2:$W$2, $L14)</f>
        <v>2</v>
      </c>
      <c r="O14">
        <f t="shared" si="4"/>
        <v>50000</v>
      </c>
      <c r="P14">
        <f t="shared" si="5"/>
        <v>6</v>
      </c>
      <c r="R14">
        <v>12</v>
      </c>
      <c r="S14">
        <v>1500</v>
      </c>
      <c r="T14">
        <v>500</v>
      </c>
      <c r="U14">
        <v>50</v>
      </c>
      <c r="V14">
        <v>6</v>
      </c>
      <c r="W14">
        <v>2</v>
      </c>
      <c r="AE14"/>
    </row>
    <row r="15" spans="1:33" x14ac:dyDescent="0.3">
      <c r="A15" t="s">
        <v>61</v>
      </c>
      <c r="B15" t="s">
        <v>27</v>
      </c>
      <c r="C15" t="s">
        <v>147</v>
      </c>
      <c r="D15">
        <v>3</v>
      </c>
      <c r="E15">
        <v>9</v>
      </c>
      <c r="F15">
        <v>0</v>
      </c>
      <c r="I15">
        <f t="shared" ca="1" si="0"/>
        <v>42</v>
      </c>
      <c r="J15">
        <f t="shared" ca="1" si="1"/>
        <v>42</v>
      </c>
      <c r="K15">
        <f t="shared" si="2"/>
        <v>233000</v>
      </c>
      <c r="L15" cm="1">
        <f t="array" ref="L15">LEVEL_POSSIBLE($E15, $F15, $B15, $S$3:$W$16, $S$2:$W$2)</f>
        <v>9</v>
      </c>
      <c r="M15">
        <f t="shared" ca="1" si="3"/>
        <v>0</v>
      </c>
      <c r="N15" cm="1">
        <f t="array" ref="N15">CARDS_NEEDED($E15, $F15, $B15, $S$3:$W$16, $S$2:$W$2, $L15)</f>
        <v>2</v>
      </c>
      <c r="O15">
        <f t="shared" si="4"/>
        <v>50000</v>
      </c>
      <c r="P15">
        <f t="shared" si="5"/>
        <v>6</v>
      </c>
      <c r="R15">
        <v>13</v>
      </c>
      <c r="S15">
        <v>3000</v>
      </c>
      <c r="T15">
        <v>750</v>
      </c>
      <c r="U15">
        <v>100</v>
      </c>
      <c r="V15">
        <v>10</v>
      </c>
      <c r="W15">
        <v>8</v>
      </c>
      <c r="AE15"/>
    </row>
    <row r="16" spans="1:33" x14ac:dyDescent="0.3">
      <c r="A16" t="s">
        <v>33</v>
      </c>
      <c r="B16" t="s">
        <v>27</v>
      </c>
      <c r="C16" t="s">
        <v>147</v>
      </c>
      <c r="D16">
        <v>4</v>
      </c>
      <c r="E16">
        <v>9</v>
      </c>
      <c r="F16">
        <v>0</v>
      </c>
      <c r="I16">
        <f t="shared" ca="1" si="0"/>
        <v>42</v>
      </c>
      <c r="J16">
        <f t="shared" ca="1" si="1"/>
        <v>42</v>
      </c>
      <c r="K16">
        <f t="shared" si="2"/>
        <v>233000</v>
      </c>
      <c r="L16" cm="1">
        <f t="array" ref="L16">LEVEL_POSSIBLE($E16, $F16, $B16, $S$3:$W$16, $S$2:$W$2)</f>
        <v>9</v>
      </c>
      <c r="M16">
        <f t="shared" ca="1" si="3"/>
        <v>0</v>
      </c>
      <c r="N16" cm="1">
        <f t="array" ref="N16">CARDS_NEEDED($E16, $F16, $B16, $S$3:$W$16, $S$2:$W$2, $L16)</f>
        <v>2</v>
      </c>
      <c r="O16">
        <f t="shared" si="4"/>
        <v>50000</v>
      </c>
      <c r="P16">
        <f t="shared" si="5"/>
        <v>6</v>
      </c>
      <c r="R16">
        <v>14</v>
      </c>
      <c r="S16">
        <v>5000</v>
      </c>
      <c r="T16">
        <v>1250</v>
      </c>
      <c r="U16">
        <v>200</v>
      </c>
      <c r="V16">
        <v>20</v>
      </c>
      <c r="W16">
        <v>20</v>
      </c>
      <c r="AE16"/>
    </row>
    <row r="17" spans="1:31" x14ac:dyDescent="0.3">
      <c r="A17" t="s">
        <v>58</v>
      </c>
      <c r="B17" t="s">
        <v>27</v>
      </c>
      <c r="C17" t="s">
        <v>147</v>
      </c>
      <c r="D17">
        <v>4</v>
      </c>
      <c r="E17">
        <v>9</v>
      </c>
      <c r="F17">
        <v>0</v>
      </c>
      <c r="I17">
        <f t="shared" ca="1" si="0"/>
        <v>42</v>
      </c>
      <c r="J17">
        <f t="shared" ca="1" si="1"/>
        <v>42</v>
      </c>
      <c r="K17">
        <f t="shared" si="2"/>
        <v>233000</v>
      </c>
      <c r="L17" cm="1">
        <f t="array" ref="L17">LEVEL_POSSIBLE($E17, $F17, $B17, $S$3:$W$16, $S$2:$W$2)</f>
        <v>9</v>
      </c>
      <c r="M17">
        <f t="shared" ca="1" si="3"/>
        <v>0</v>
      </c>
      <c r="N17" cm="1">
        <f t="array" ref="N17">CARDS_NEEDED($E17, $F17, $B17, $S$3:$W$16, $S$2:$W$2, $L17)</f>
        <v>2</v>
      </c>
      <c r="O17">
        <f t="shared" si="4"/>
        <v>50000</v>
      </c>
      <c r="P17">
        <f t="shared" si="5"/>
        <v>6</v>
      </c>
      <c r="R17">
        <v>15</v>
      </c>
      <c r="S17">
        <v>0</v>
      </c>
      <c r="T17">
        <v>0</v>
      </c>
      <c r="U17">
        <v>0</v>
      </c>
      <c r="V17">
        <v>0</v>
      </c>
      <c r="W17">
        <v>0</v>
      </c>
      <c r="AE17"/>
    </row>
    <row r="18" spans="1:31" x14ac:dyDescent="0.3">
      <c r="A18" t="s">
        <v>114</v>
      </c>
      <c r="B18" t="s">
        <v>27</v>
      </c>
      <c r="C18" t="s">
        <v>147</v>
      </c>
      <c r="D18">
        <v>4</v>
      </c>
      <c r="E18">
        <v>9</v>
      </c>
      <c r="F18">
        <v>0</v>
      </c>
      <c r="I18">
        <f t="shared" ca="1" si="0"/>
        <v>42</v>
      </c>
      <c r="J18">
        <f t="shared" ca="1" si="1"/>
        <v>42</v>
      </c>
      <c r="K18">
        <f t="shared" si="2"/>
        <v>233000</v>
      </c>
      <c r="L18" cm="1">
        <f t="array" ref="L18">LEVEL_POSSIBLE($E18, $F18, $B18, $S$3:$W$16, $S$2:$W$2)</f>
        <v>9</v>
      </c>
      <c r="M18">
        <f t="shared" ca="1" si="3"/>
        <v>0</v>
      </c>
      <c r="N18" cm="1">
        <f t="array" ref="N18">CARDS_NEEDED($E18, $F18, $B18, $S$3:$W$16, $S$2:$W$2, $L18)</f>
        <v>2</v>
      </c>
      <c r="O18">
        <f t="shared" si="4"/>
        <v>50000</v>
      </c>
      <c r="P18">
        <f t="shared" si="5"/>
        <v>6</v>
      </c>
      <c r="AE18"/>
    </row>
    <row r="19" spans="1:31" x14ac:dyDescent="0.3">
      <c r="A19" t="s">
        <v>46</v>
      </c>
      <c r="B19" t="s">
        <v>27</v>
      </c>
      <c r="C19" t="s">
        <v>147</v>
      </c>
      <c r="D19">
        <v>4</v>
      </c>
      <c r="E19">
        <v>9</v>
      </c>
      <c r="F19">
        <v>0</v>
      </c>
      <c r="I19">
        <f t="shared" ca="1" si="0"/>
        <v>42</v>
      </c>
      <c r="J19">
        <f t="shared" ca="1" si="1"/>
        <v>42</v>
      </c>
      <c r="K19">
        <f t="shared" si="2"/>
        <v>233000</v>
      </c>
      <c r="L19" cm="1">
        <f t="array" ref="L19">LEVEL_POSSIBLE($E19, $F19, $B19, $S$3:$W$16, $S$2:$W$2)</f>
        <v>9</v>
      </c>
      <c r="M19">
        <f t="shared" ca="1" si="3"/>
        <v>0</v>
      </c>
      <c r="N19" cm="1">
        <f t="array" ref="N19">CARDS_NEEDED($E19, $F19, $B19, $S$3:$W$16, $S$2:$W$2, $L19)</f>
        <v>2</v>
      </c>
      <c r="O19">
        <f t="shared" si="4"/>
        <v>50000</v>
      </c>
      <c r="P19">
        <f t="shared" si="5"/>
        <v>6</v>
      </c>
      <c r="AE19"/>
    </row>
    <row r="20" spans="1:31" x14ac:dyDescent="0.3">
      <c r="A20" t="s">
        <v>139</v>
      </c>
      <c r="B20" t="s">
        <v>27</v>
      </c>
      <c r="C20" t="s">
        <v>147</v>
      </c>
      <c r="D20">
        <v>4</v>
      </c>
      <c r="E20">
        <v>9</v>
      </c>
      <c r="F20">
        <v>0</v>
      </c>
      <c r="I20">
        <f t="shared" ca="1" si="0"/>
        <v>42</v>
      </c>
      <c r="J20">
        <f t="shared" ca="1" si="1"/>
        <v>42</v>
      </c>
      <c r="K20">
        <f t="shared" si="2"/>
        <v>233000</v>
      </c>
      <c r="L20" cm="1">
        <f t="array" ref="L20">LEVEL_POSSIBLE($E20, $F20, $B20, $S$3:$W$16, $S$2:$W$2)</f>
        <v>9</v>
      </c>
      <c r="M20">
        <f t="shared" ca="1" si="3"/>
        <v>0</v>
      </c>
      <c r="N20" cm="1">
        <f t="array" ref="N20">CARDS_NEEDED($E20, $F20, $B20, $S$3:$W$16, $S$2:$W$2, $L20)</f>
        <v>2</v>
      </c>
      <c r="O20">
        <f t="shared" si="4"/>
        <v>50000</v>
      </c>
      <c r="P20">
        <f t="shared" si="5"/>
        <v>6</v>
      </c>
      <c r="AE20"/>
    </row>
    <row r="21" spans="1:31" x14ac:dyDescent="0.3">
      <c r="A21" t="s">
        <v>103</v>
      </c>
      <c r="B21" t="s">
        <v>27</v>
      </c>
      <c r="C21" t="s">
        <v>148</v>
      </c>
      <c r="D21">
        <v>4</v>
      </c>
      <c r="E21">
        <v>9</v>
      </c>
      <c r="F21">
        <v>0</v>
      </c>
      <c r="H21">
        <v>0</v>
      </c>
      <c r="I21">
        <f t="shared" ca="1" si="0"/>
        <v>42</v>
      </c>
      <c r="J21">
        <f t="shared" ca="1" si="1"/>
        <v>42</v>
      </c>
      <c r="K21">
        <f t="shared" si="2"/>
        <v>233000</v>
      </c>
      <c r="L21" cm="1">
        <f t="array" ref="L21">LEVEL_POSSIBLE($E21, $F21, $B21, $S$3:$W$16, $S$2:$W$2)</f>
        <v>9</v>
      </c>
      <c r="M21">
        <f t="shared" ca="1" si="3"/>
        <v>0</v>
      </c>
      <c r="N21" cm="1">
        <f t="array" ref="N21">CARDS_NEEDED($E21, $F21, $B21, $S$3:$W$16, $S$2:$W$2, $L21)</f>
        <v>2</v>
      </c>
      <c r="O21">
        <f t="shared" si="4"/>
        <v>50000</v>
      </c>
      <c r="P21">
        <f t="shared" si="5"/>
        <v>6</v>
      </c>
      <c r="AE21"/>
    </row>
    <row r="22" spans="1:31" x14ac:dyDescent="0.3">
      <c r="A22" t="s">
        <v>115</v>
      </c>
      <c r="B22" t="s">
        <v>27</v>
      </c>
      <c r="C22" t="s">
        <v>147</v>
      </c>
      <c r="D22">
        <v>4</v>
      </c>
      <c r="E22">
        <v>9</v>
      </c>
      <c r="F22">
        <v>0</v>
      </c>
      <c r="I22">
        <f t="shared" ca="1" si="0"/>
        <v>42</v>
      </c>
      <c r="J22">
        <f t="shared" ca="1" si="1"/>
        <v>42</v>
      </c>
      <c r="K22">
        <f t="shared" si="2"/>
        <v>233000</v>
      </c>
      <c r="L22" cm="1">
        <f t="array" ref="L22">LEVEL_POSSIBLE($E22, $F22, $B22, $S$3:$W$16, $S$2:$W$2)</f>
        <v>9</v>
      </c>
      <c r="M22">
        <f t="shared" ca="1" si="3"/>
        <v>0</v>
      </c>
      <c r="N22" cm="1">
        <f t="array" ref="N22">CARDS_NEEDED($E22, $F22, $B22, $S$3:$W$16, $S$2:$W$2, $L22)</f>
        <v>2</v>
      </c>
      <c r="O22">
        <f t="shared" si="4"/>
        <v>50000</v>
      </c>
      <c r="P22">
        <f t="shared" si="5"/>
        <v>6</v>
      </c>
      <c r="AE22"/>
    </row>
    <row r="23" spans="1:31" x14ac:dyDescent="0.3">
      <c r="A23" t="s">
        <v>34</v>
      </c>
      <c r="B23" t="s">
        <v>27</v>
      </c>
      <c r="C23" t="s">
        <v>147</v>
      </c>
      <c r="D23">
        <v>5</v>
      </c>
      <c r="E23">
        <v>9</v>
      </c>
      <c r="F23">
        <v>0</v>
      </c>
      <c r="I23">
        <f t="shared" ca="1" si="0"/>
        <v>42</v>
      </c>
      <c r="J23">
        <f t="shared" ca="1" si="1"/>
        <v>42</v>
      </c>
      <c r="K23">
        <f t="shared" si="2"/>
        <v>233000</v>
      </c>
      <c r="L23" cm="1">
        <f t="array" ref="L23">LEVEL_POSSIBLE($E23, $F23, $B23, $S$3:$W$16, $S$2:$W$2)</f>
        <v>9</v>
      </c>
      <c r="M23">
        <f t="shared" ca="1" si="3"/>
        <v>0</v>
      </c>
      <c r="N23" cm="1">
        <f t="array" ref="N23">CARDS_NEEDED($E23, $F23, $B23, $S$3:$W$16, $S$2:$W$2, $L23)</f>
        <v>2</v>
      </c>
      <c r="O23">
        <f t="shared" si="4"/>
        <v>50000</v>
      </c>
      <c r="P23">
        <f t="shared" si="5"/>
        <v>6</v>
      </c>
      <c r="AE23"/>
    </row>
    <row r="24" spans="1:31" x14ac:dyDescent="0.3">
      <c r="A24" t="s">
        <v>62</v>
      </c>
      <c r="B24" t="s">
        <v>27</v>
      </c>
      <c r="C24" t="s">
        <v>147</v>
      </c>
      <c r="D24">
        <v>5</v>
      </c>
      <c r="E24">
        <v>9</v>
      </c>
      <c r="F24">
        <v>0</v>
      </c>
      <c r="I24">
        <f t="shared" ca="1" si="0"/>
        <v>42</v>
      </c>
      <c r="J24">
        <f t="shared" ca="1" si="1"/>
        <v>42</v>
      </c>
      <c r="K24">
        <f t="shared" si="2"/>
        <v>233000</v>
      </c>
      <c r="L24" cm="1">
        <f t="array" ref="L24">LEVEL_POSSIBLE($E24, $F24, $B24, $S$3:$W$16, $S$2:$W$2)</f>
        <v>9</v>
      </c>
      <c r="M24">
        <f t="shared" ca="1" si="3"/>
        <v>0</v>
      </c>
      <c r="N24" cm="1">
        <f t="array" ref="N24">CARDS_NEEDED($E24, $F24, $B24, $S$3:$W$16, $S$2:$W$2, $L24)</f>
        <v>2</v>
      </c>
      <c r="O24">
        <f t="shared" si="4"/>
        <v>50000</v>
      </c>
      <c r="P24">
        <f t="shared" si="5"/>
        <v>6</v>
      </c>
      <c r="AE24"/>
    </row>
    <row r="25" spans="1:31" x14ac:dyDescent="0.3">
      <c r="A25" t="s">
        <v>75</v>
      </c>
      <c r="B25" t="s">
        <v>27</v>
      </c>
      <c r="C25" t="s">
        <v>147</v>
      </c>
      <c r="D25">
        <v>5</v>
      </c>
      <c r="E25">
        <v>9</v>
      </c>
      <c r="F25">
        <v>0</v>
      </c>
      <c r="I25">
        <f t="shared" ca="1" si="0"/>
        <v>42</v>
      </c>
      <c r="J25">
        <f t="shared" ca="1" si="1"/>
        <v>42</v>
      </c>
      <c r="K25">
        <f t="shared" si="2"/>
        <v>233000</v>
      </c>
      <c r="L25" cm="1">
        <f t="array" ref="L25">LEVEL_POSSIBLE($E25, $F25, $B25, $S$3:$W$16, $S$2:$W$2)</f>
        <v>9</v>
      </c>
      <c r="M25">
        <f t="shared" ca="1" si="3"/>
        <v>0</v>
      </c>
      <c r="N25" cm="1">
        <f t="array" ref="N25">CARDS_NEEDED($E25, $F25, $B25, $S$3:$W$16, $S$2:$W$2, $L25)</f>
        <v>2</v>
      </c>
      <c r="O25">
        <f t="shared" si="4"/>
        <v>50000</v>
      </c>
      <c r="P25">
        <f t="shared" si="5"/>
        <v>6</v>
      </c>
      <c r="AE25"/>
    </row>
    <row r="26" spans="1:31" x14ac:dyDescent="0.3">
      <c r="A26" t="s">
        <v>59</v>
      </c>
      <c r="B26" t="s">
        <v>27</v>
      </c>
      <c r="C26" t="s">
        <v>147</v>
      </c>
      <c r="D26">
        <v>6</v>
      </c>
      <c r="E26">
        <v>9</v>
      </c>
      <c r="F26">
        <v>0</v>
      </c>
      <c r="I26">
        <f t="shared" ca="1" si="0"/>
        <v>42</v>
      </c>
      <c r="J26">
        <f t="shared" ca="1" si="1"/>
        <v>42</v>
      </c>
      <c r="K26">
        <f t="shared" si="2"/>
        <v>233000</v>
      </c>
      <c r="L26" cm="1">
        <f t="array" ref="L26">LEVEL_POSSIBLE($E26, $F26, $B26, $S$3:$W$16, $S$2:$W$2)</f>
        <v>9</v>
      </c>
      <c r="M26">
        <f t="shared" ca="1" si="3"/>
        <v>0</v>
      </c>
      <c r="N26" cm="1">
        <f t="array" ref="N26">CARDS_NEEDED($E26, $F26, $B26, $S$3:$W$16, $S$2:$W$2, $L26)</f>
        <v>2</v>
      </c>
      <c r="O26">
        <f t="shared" si="4"/>
        <v>50000</v>
      </c>
      <c r="P26">
        <f t="shared" si="5"/>
        <v>6</v>
      </c>
      <c r="R26" s="3" t="s">
        <v>133</v>
      </c>
      <c r="S26" s="3"/>
      <c r="AE26"/>
    </row>
    <row r="27" spans="1:31" x14ac:dyDescent="0.3">
      <c r="A27" t="s">
        <v>26</v>
      </c>
      <c r="B27" t="s">
        <v>27</v>
      </c>
      <c r="C27" t="s">
        <v>147</v>
      </c>
      <c r="D27">
        <v>7</v>
      </c>
      <c r="E27">
        <v>9</v>
      </c>
      <c r="F27">
        <v>0</v>
      </c>
      <c r="I27">
        <f t="shared" ca="1" si="0"/>
        <v>42</v>
      </c>
      <c r="J27">
        <f t="shared" ca="1" si="1"/>
        <v>42</v>
      </c>
      <c r="K27">
        <f t="shared" si="2"/>
        <v>233000</v>
      </c>
      <c r="L27" cm="1">
        <f t="array" ref="L27">LEVEL_POSSIBLE($E27, $F27, $B27, $S$3:$W$16, $S$2:$W$2)</f>
        <v>9</v>
      </c>
      <c r="M27">
        <f t="shared" ca="1" si="3"/>
        <v>0</v>
      </c>
      <c r="N27" cm="1">
        <f t="array" ref="N27">CARDS_NEEDED($E27, $F27, $B27, $S$3:$W$16, $S$2:$W$2, $L27)</f>
        <v>2</v>
      </c>
      <c r="O27">
        <f t="shared" si="4"/>
        <v>50000</v>
      </c>
      <c r="P27">
        <f t="shared" si="5"/>
        <v>6</v>
      </c>
      <c r="R27" t="s">
        <v>0</v>
      </c>
      <c r="S27" t="s">
        <v>134</v>
      </c>
      <c r="AE27"/>
    </row>
    <row r="28" spans="1:31" x14ac:dyDescent="0.3">
      <c r="A28" t="s">
        <v>28</v>
      </c>
      <c r="B28" t="s">
        <v>27</v>
      </c>
      <c r="C28" t="s">
        <v>148</v>
      </c>
      <c r="D28">
        <v>7</v>
      </c>
      <c r="E28">
        <v>9</v>
      </c>
      <c r="F28">
        <v>0</v>
      </c>
      <c r="H28">
        <v>0</v>
      </c>
      <c r="I28">
        <f t="shared" ca="1" si="0"/>
        <v>42</v>
      </c>
      <c r="J28">
        <f t="shared" ca="1" si="1"/>
        <v>42</v>
      </c>
      <c r="K28">
        <f t="shared" si="2"/>
        <v>233000</v>
      </c>
      <c r="L28" cm="1">
        <f t="array" ref="L28">LEVEL_POSSIBLE($E28, $F28, $B28, $S$3:$W$16, $S$2:$W$2)</f>
        <v>9</v>
      </c>
      <c r="M28">
        <f t="shared" ca="1" si="3"/>
        <v>0</v>
      </c>
      <c r="N28" cm="1">
        <f t="array" ref="N28">CARDS_NEEDED($E28, $F28, $B28, $S$3:$W$16, $S$2:$W$2, $L28)</f>
        <v>2</v>
      </c>
      <c r="O28">
        <f t="shared" si="4"/>
        <v>50000</v>
      </c>
      <c r="P28">
        <f t="shared" si="5"/>
        <v>6</v>
      </c>
      <c r="R28">
        <v>1</v>
      </c>
      <c r="S28">
        <v>0</v>
      </c>
      <c r="AB28" s="3" t="s">
        <v>152</v>
      </c>
      <c r="AC28" s="3"/>
      <c r="AD28" s="3"/>
      <c r="AE28"/>
    </row>
    <row r="29" spans="1:31" x14ac:dyDescent="0.3">
      <c r="A29" t="s">
        <v>129</v>
      </c>
      <c r="B29" t="s">
        <v>27</v>
      </c>
      <c r="C29" t="s">
        <v>147</v>
      </c>
      <c r="D29" t="s">
        <v>146</v>
      </c>
      <c r="E29">
        <v>9</v>
      </c>
      <c r="F29">
        <v>0</v>
      </c>
      <c r="I29">
        <f t="shared" ca="1" si="0"/>
        <v>42</v>
      </c>
      <c r="J29">
        <f t="shared" ca="1" si="1"/>
        <v>42</v>
      </c>
      <c r="K29">
        <f t="shared" si="2"/>
        <v>233000</v>
      </c>
      <c r="L29" cm="1">
        <f t="array" ref="L29">LEVEL_POSSIBLE($E29, $F29, $B29, $S$3:$W$16, $S$2:$W$2)</f>
        <v>9</v>
      </c>
      <c r="M29">
        <f t="shared" ca="1" si="3"/>
        <v>0</v>
      </c>
      <c r="N29" cm="1">
        <f t="array" ref="N29">CARDS_NEEDED($E29, $F29, $B29, $S$3:$W$16, $S$2:$W$2, $L29)</f>
        <v>2</v>
      </c>
      <c r="O29">
        <f t="shared" si="4"/>
        <v>50000</v>
      </c>
      <c r="P29">
        <f t="shared" si="5"/>
        <v>6</v>
      </c>
      <c r="R29">
        <v>2</v>
      </c>
      <c r="S29">
        <v>5</v>
      </c>
      <c r="AC29" t="s">
        <v>156</v>
      </c>
      <c r="AD29" t="s">
        <v>157</v>
      </c>
      <c r="AE29"/>
    </row>
    <row r="30" spans="1:31" x14ac:dyDescent="0.3">
      <c r="A30" t="s">
        <v>163</v>
      </c>
      <c r="B30" t="s">
        <v>27</v>
      </c>
      <c r="C30" t="s">
        <v>147</v>
      </c>
      <c r="D30" t="s">
        <v>146</v>
      </c>
      <c r="E30">
        <v>9</v>
      </c>
      <c r="F30">
        <v>0</v>
      </c>
      <c r="I30">
        <f t="shared" ca="1" si="0"/>
        <v>42</v>
      </c>
      <c r="J30">
        <f t="shared" ca="1" si="1"/>
        <v>42</v>
      </c>
      <c r="K30">
        <f t="shared" si="2"/>
        <v>233000</v>
      </c>
      <c r="L30" cm="1">
        <f t="array" ref="L30">LEVEL_POSSIBLE($E30, $F30, $B30, $S$3:$W$16, $S$2:$W$2)</f>
        <v>9</v>
      </c>
      <c r="M30">
        <f t="shared" ca="1" si="3"/>
        <v>0</v>
      </c>
      <c r="N30" cm="1">
        <f t="array" ref="N30">CARDS_NEEDED($E30, $F30, $B30, $S$3:$W$16, $S$2:$W$2, $L30)</f>
        <v>2</v>
      </c>
      <c r="O30">
        <f t="shared" si="4"/>
        <v>50000</v>
      </c>
      <c r="P30">
        <f t="shared" si="5"/>
        <v>6</v>
      </c>
      <c r="R30">
        <v>3</v>
      </c>
      <c r="S30">
        <v>20</v>
      </c>
      <c r="AB30" t="s">
        <v>153</v>
      </c>
      <c r="AC30">
        <f>COUNTIF($C$2:$C$123, "Y")</f>
        <v>29</v>
      </c>
      <c r="AE30"/>
    </row>
    <row r="31" spans="1:31" x14ac:dyDescent="0.3">
      <c r="A31" t="s">
        <v>105</v>
      </c>
      <c r="B31" t="s">
        <v>9</v>
      </c>
      <c r="C31" t="s">
        <v>147</v>
      </c>
      <c r="D31">
        <v>0</v>
      </c>
      <c r="E31">
        <v>6</v>
      </c>
      <c r="F31">
        <v>0</v>
      </c>
      <c r="I31">
        <f t="shared" ca="1" si="0"/>
        <v>426</v>
      </c>
      <c r="J31">
        <f t="shared" ca="1" si="1"/>
        <v>426</v>
      </c>
      <c r="K31">
        <f t="shared" si="2"/>
        <v>240000</v>
      </c>
      <c r="L31" cm="1">
        <f t="array" ref="L31">LEVEL_POSSIBLE($E31, $F31, $B31, $S$3:$W$16, $S$2:$W$2)</f>
        <v>6</v>
      </c>
      <c r="M31">
        <f t="shared" ca="1" si="3"/>
        <v>0</v>
      </c>
      <c r="N31" cm="1">
        <f t="array" ref="N31">CARDS_NEEDED($E31, $F31, $B31, $S$3:$W$16, $S$2:$W$2, $L31)</f>
        <v>2</v>
      </c>
      <c r="O31">
        <f t="shared" si="4"/>
        <v>50000</v>
      </c>
      <c r="P31">
        <f t="shared" si="5"/>
        <v>6</v>
      </c>
      <c r="R31">
        <v>4</v>
      </c>
      <c r="S31">
        <v>50</v>
      </c>
      <c r="AB31" t="s">
        <v>159</v>
      </c>
      <c r="AC31">
        <f>SUM($H$2:$H$123)</f>
        <v>0</v>
      </c>
      <c r="AD31">
        <f>AC31/(AC30*6)</f>
        <v>0</v>
      </c>
      <c r="AE31"/>
    </row>
    <row r="32" spans="1:31" x14ac:dyDescent="0.3">
      <c r="A32" t="s">
        <v>30</v>
      </c>
      <c r="B32" t="s">
        <v>9</v>
      </c>
      <c r="C32" t="s">
        <v>147</v>
      </c>
      <c r="D32">
        <v>2</v>
      </c>
      <c r="E32">
        <v>6</v>
      </c>
      <c r="F32">
        <v>0</v>
      </c>
      <c r="I32">
        <f t="shared" ca="1" si="0"/>
        <v>426</v>
      </c>
      <c r="J32">
        <f t="shared" ca="1" si="1"/>
        <v>426</v>
      </c>
      <c r="K32">
        <f t="shared" si="2"/>
        <v>240000</v>
      </c>
      <c r="L32" cm="1">
        <f t="array" ref="L32">LEVEL_POSSIBLE($E32, $F32, $B32, $S$3:$W$16, $S$2:$W$2)</f>
        <v>6</v>
      </c>
      <c r="M32">
        <f t="shared" ca="1" si="3"/>
        <v>0</v>
      </c>
      <c r="N32" cm="1">
        <f t="array" ref="N32">CARDS_NEEDED($E32, $F32, $B32, $S$3:$W$16, $S$2:$W$2, $L32)</f>
        <v>2</v>
      </c>
      <c r="O32">
        <f t="shared" si="4"/>
        <v>50000</v>
      </c>
      <c r="P32">
        <f t="shared" si="5"/>
        <v>6</v>
      </c>
      <c r="R32">
        <v>5</v>
      </c>
      <c r="S32">
        <v>150</v>
      </c>
      <c r="AB32" t="s">
        <v>158</v>
      </c>
      <c r="AC32">
        <f>AC30*6-AC31</f>
        <v>174</v>
      </c>
      <c r="AD32">
        <f>1-AD31</f>
        <v>1</v>
      </c>
      <c r="AE32"/>
    </row>
    <row r="33" spans="1:31" x14ac:dyDescent="0.3">
      <c r="A33" t="s">
        <v>95</v>
      </c>
      <c r="B33" t="s">
        <v>9</v>
      </c>
      <c r="C33" t="s">
        <v>148</v>
      </c>
      <c r="D33">
        <v>2</v>
      </c>
      <c r="E33">
        <v>6</v>
      </c>
      <c r="F33">
        <v>0</v>
      </c>
      <c r="H33">
        <v>0</v>
      </c>
      <c r="I33">
        <f t="shared" ca="1" si="0"/>
        <v>426</v>
      </c>
      <c r="J33">
        <f t="shared" ca="1" si="1"/>
        <v>426</v>
      </c>
      <c r="K33">
        <f t="shared" si="2"/>
        <v>240000</v>
      </c>
      <c r="L33" cm="1">
        <f t="array" ref="L33">LEVEL_POSSIBLE($E33, $F33, $B33, $S$3:$W$16, $S$2:$W$2)</f>
        <v>6</v>
      </c>
      <c r="M33">
        <f t="shared" ca="1" si="3"/>
        <v>0</v>
      </c>
      <c r="N33" cm="1">
        <f t="array" ref="N33">CARDS_NEEDED($E33, $F33, $B33, $S$3:$W$16, $S$2:$W$2, $L33)</f>
        <v>2</v>
      </c>
      <c r="O33">
        <f t="shared" si="4"/>
        <v>50000</v>
      </c>
      <c r="P33">
        <f t="shared" si="5"/>
        <v>6</v>
      </c>
      <c r="R33">
        <v>6</v>
      </c>
      <c r="S33">
        <v>400</v>
      </c>
      <c r="AB33" t="s">
        <v>154</v>
      </c>
      <c r="AC33">
        <f>COUNTIF($H$2:$H$123, 6)</f>
        <v>0</v>
      </c>
      <c r="AD33">
        <f>AC33/AC30</f>
        <v>0</v>
      </c>
      <c r="AE33"/>
    </row>
    <row r="34" spans="1:31" x14ac:dyDescent="0.3">
      <c r="A34" t="s">
        <v>120</v>
      </c>
      <c r="B34" t="s">
        <v>9</v>
      </c>
      <c r="C34" t="s">
        <v>147</v>
      </c>
      <c r="D34">
        <v>2</v>
      </c>
      <c r="E34">
        <v>6</v>
      </c>
      <c r="F34">
        <v>0</v>
      </c>
      <c r="I34">
        <f t="shared" ref="I34:I65" ca="1" si="9">SUM(OFFSET($S$3:$S$17, $E34, MATCH($B34, $S$2:$W$2, 0) - 1, 16 - $E34, 1))</f>
        <v>426</v>
      </c>
      <c r="J34">
        <f t="shared" ref="J34:J65" ca="1" si="10">$I34-$F34</f>
        <v>426</v>
      </c>
      <c r="K34">
        <f t="shared" ref="K34:K65" si="11">SUMIFS($S$29:$S$41, $R$29:$R$41, "&gt;" &amp; $E34)</f>
        <v>240000</v>
      </c>
      <c r="L34" cm="1">
        <f t="array" ref="L34">LEVEL_POSSIBLE($E34, $F34, $B34, $S$3:$W$16, $S$2:$W$2)</f>
        <v>6</v>
      </c>
      <c r="M34">
        <f t="shared" ref="M34:M65" ca="1" si="12">IFERROR(SUM(OFFSET($S$28:$S$41,$E34,0,$L34 - $E34,1)),0)</f>
        <v>0</v>
      </c>
      <c r="N34" cm="1">
        <f t="array" ref="N34">CARDS_NEEDED($E34, $F34, $B34, $S$3:$W$16, $S$2:$W$2, $L34)</f>
        <v>2</v>
      </c>
      <c r="O34">
        <f t="shared" ref="O34:O65" si="13">IF(E34=15,0,50000-$G34)</f>
        <v>50000</v>
      </c>
      <c r="P34">
        <f t="shared" ref="P34:P65" si="14">6-H34</f>
        <v>6</v>
      </c>
      <c r="R34">
        <v>7</v>
      </c>
      <c r="S34">
        <v>1000</v>
      </c>
      <c r="AB34" t="s">
        <v>155</v>
      </c>
      <c r="AC34">
        <f>AC30-AC33</f>
        <v>29</v>
      </c>
      <c r="AD34">
        <f>1-AD33</f>
        <v>1</v>
      </c>
      <c r="AE34"/>
    </row>
    <row r="35" spans="1:31" x14ac:dyDescent="0.3">
      <c r="A35" t="s">
        <v>77</v>
      </c>
      <c r="B35" t="s">
        <v>9</v>
      </c>
      <c r="C35" t="s">
        <v>147</v>
      </c>
      <c r="D35">
        <v>2</v>
      </c>
      <c r="E35">
        <v>6</v>
      </c>
      <c r="F35">
        <v>0</v>
      </c>
      <c r="I35">
        <f t="shared" ca="1" si="9"/>
        <v>426</v>
      </c>
      <c r="J35">
        <f t="shared" ca="1" si="10"/>
        <v>426</v>
      </c>
      <c r="K35">
        <f t="shared" si="11"/>
        <v>240000</v>
      </c>
      <c r="L35" cm="1">
        <f t="array" ref="L35">LEVEL_POSSIBLE($E35, $F35, $B35, $S$3:$W$16, $S$2:$W$2)</f>
        <v>6</v>
      </c>
      <c r="M35">
        <f t="shared" ca="1" si="12"/>
        <v>0</v>
      </c>
      <c r="N35" cm="1">
        <f t="array" ref="N35">CARDS_NEEDED($E35, $F35, $B35, $S$3:$W$16, $S$2:$W$2, $L35)</f>
        <v>2</v>
      </c>
      <c r="O35">
        <f t="shared" si="13"/>
        <v>50000</v>
      </c>
      <c r="P35">
        <f t="shared" si="14"/>
        <v>6</v>
      </c>
      <c r="R35">
        <v>8</v>
      </c>
      <c r="S35">
        <v>2000</v>
      </c>
      <c r="AE35"/>
    </row>
    <row r="36" spans="1:31" x14ac:dyDescent="0.3">
      <c r="A36" t="s">
        <v>5</v>
      </c>
      <c r="B36" t="s">
        <v>9</v>
      </c>
      <c r="C36" t="s">
        <v>147</v>
      </c>
      <c r="D36">
        <v>3</v>
      </c>
      <c r="E36">
        <v>6</v>
      </c>
      <c r="F36">
        <v>0</v>
      </c>
      <c r="I36">
        <f t="shared" ca="1" si="9"/>
        <v>426</v>
      </c>
      <c r="J36">
        <f t="shared" ca="1" si="10"/>
        <v>426</v>
      </c>
      <c r="K36">
        <f t="shared" si="11"/>
        <v>240000</v>
      </c>
      <c r="L36" cm="1">
        <f t="array" ref="L36">LEVEL_POSSIBLE($E36, $F36, $B36, $S$3:$W$16, $S$2:$W$2)</f>
        <v>6</v>
      </c>
      <c r="M36">
        <f t="shared" ca="1" si="12"/>
        <v>0</v>
      </c>
      <c r="N36" cm="1">
        <f t="array" ref="N36">CARDS_NEEDED($E36, $F36, $B36, $S$3:$W$16, $S$2:$W$2, $L36)</f>
        <v>2</v>
      </c>
      <c r="O36">
        <f t="shared" si="13"/>
        <v>50000</v>
      </c>
      <c r="P36">
        <f t="shared" si="14"/>
        <v>6</v>
      </c>
      <c r="R36">
        <v>9</v>
      </c>
      <c r="S36">
        <v>4000</v>
      </c>
      <c r="AE36"/>
    </row>
    <row r="37" spans="1:31" x14ac:dyDescent="0.3">
      <c r="A37" t="s">
        <v>11</v>
      </c>
      <c r="B37" t="s">
        <v>9</v>
      </c>
      <c r="C37" t="s">
        <v>148</v>
      </c>
      <c r="D37">
        <v>3</v>
      </c>
      <c r="E37">
        <v>6</v>
      </c>
      <c r="F37">
        <v>0</v>
      </c>
      <c r="H37">
        <v>0</v>
      </c>
      <c r="I37">
        <f t="shared" ca="1" si="9"/>
        <v>426</v>
      </c>
      <c r="J37">
        <f t="shared" ca="1" si="10"/>
        <v>426</v>
      </c>
      <c r="K37">
        <f t="shared" si="11"/>
        <v>240000</v>
      </c>
      <c r="L37" cm="1">
        <f t="array" ref="L37">LEVEL_POSSIBLE($E37, $F37, $B37, $S$3:$W$16, $S$2:$W$2)</f>
        <v>6</v>
      </c>
      <c r="M37">
        <f t="shared" ca="1" si="12"/>
        <v>0</v>
      </c>
      <c r="N37" cm="1">
        <f t="array" ref="N37">CARDS_NEEDED($E37, $F37, $B37, $S$3:$W$16, $S$2:$W$2, $L37)</f>
        <v>2</v>
      </c>
      <c r="O37">
        <f t="shared" si="13"/>
        <v>50000</v>
      </c>
      <c r="P37">
        <f t="shared" si="14"/>
        <v>6</v>
      </c>
      <c r="R37">
        <v>10</v>
      </c>
      <c r="S37">
        <v>8000</v>
      </c>
      <c r="AE37"/>
    </row>
    <row r="38" spans="1:31" x14ac:dyDescent="0.3">
      <c r="A38" t="s">
        <v>24</v>
      </c>
      <c r="B38" t="s">
        <v>9</v>
      </c>
      <c r="C38" t="s">
        <v>147</v>
      </c>
      <c r="D38">
        <v>3</v>
      </c>
      <c r="E38">
        <v>6</v>
      </c>
      <c r="F38">
        <v>0</v>
      </c>
      <c r="I38">
        <f t="shared" ca="1" si="9"/>
        <v>426</v>
      </c>
      <c r="J38">
        <f t="shared" ca="1" si="10"/>
        <v>426</v>
      </c>
      <c r="K38">
        <f t="shared" si="11"/>
        <v>240000</v>
      </c>
      <c r="L38" cm="1">
        <f t="array" ref="L38">LEVEL_POSSIBLE($E38, $F38, $B38, $S$3:$W$16, $S$2:$W$2)</f>
        <v>6</v>
      </c>
      <c r="M38">
        <f t="shared" ca="1" si="12"/>
        <v>0</v>
      </c>
      <c r="N38" cm="1">
        <f t="array" ref="N38">CARDS_NEEDED($E38, $F38, $B38, $S$3:$W$16, $S$2:$W$2, $L38)</f>
        <v>2</v>
      </c>
      <c r="O38">
        <f t="shared" si="13"/>
        <v>50000</v>
      </c>
      <c r="P38">
        <f t="shared" si="14"/>
        <v>6</v>
      </c>
      <c r="R38">
        <v>11</v>
      </c>
      <c r="S38">
        <v>15000</v>
      </c>
      <c r="AE38"/>
    </row>
    <row r="39" spans="1:31" x14ac:dyDescent="0.3">
      <c r="A39" t="s">
        <v>39</v>
      </c>
      <c r="B39" t="s">
        <v>9</v>
      </c>
      <c r="C39" t="s">
        <v>147</v>
      </c>
      <c r="D39">
        <v>3</v>
      </c>
      <c r="E39">
        <v>6</v>
      </c>
      <c r="F39">
        <v>0</v>
      </c>
      <c r="I39">
        <f t="shared" ca="1" si="9"/>
        <v>426</v>
      </c>
      <c r="J39">
        <f t="shared" ca="1" si="10"/>
        <v>426</v>
      </c>
      <c r="K39">
        <f t="shared" si="11"/>
        <v>240000</v>
      </c>
      <c r="L39" cm="1">
        <f t="array" ref="L39">LEVEL_POSSIBLE($E39, $F39, $B39, $S$3:$W$16, $S$2:$W$2)</f>
        <v>6</v>
      </c>
      <c r="M39">
        <f t="shared" ca="1" si="12"/>
        <v>0</v>
      </c>
      <c r="N39" cm="1">
        <f t="array" ref="N39">CARDS_NEEDED($E39, $F39, $B39, $S$3:$W$16, $S$2:$W$2, $L39)</f>
        <v>2</v>
      </c>
      <c r="O39">
        <f t="shared" si="13"/>
        <v>50000</v>
      </c>
      <c r="P39">
        <f t="shared" si="14"/>
        <v>6</v>
      </c>
      <c r="R39">
        <v>12</v>
      </c>
      <c r="S39">
        <v>35000</v>
      </c>
      <c r="AE39"/>
    </row>
    <row r="40" spans="1:31" x14ac:dyDescent="0.3">
      <c r="A40" t="s">
        <v>63</v>
      </c>
      <c r="B40" t="s">
        <v>9</v>
      </c>
      <c r="C40" t="s">
        <v>147</v>
      </c>
      <c r="D40">
        <v>3</v>
      </c>
      <c r="E40">
        <v>6</v>
      </c>
      <c r="F40">
        <v>0</v>
      </c>
      <c r="I40">
        <f t="shared" ca="1" si="9"/>
        <v>426</v>
      </c>
      <c r="J40">
        <f t="shared" ca="1" si="10"/>
        <v>426</v>
      </c>
      <c r="K40">
        <f t="shared" si="11"/>
        <v>240000</v>
      </c>
      <c r="L40" cm="1">
        <f t="array" ref="L40">LEVEL_POSSIBLE($E40, $F40, $B40, $S$3:$W$16, $S$2:$W$2)</f>
        <v>6</v>
      </c>
      <c r="M40">
        <f t="shared" ca="1" si="12"/>
        <v>0</v>
      </c>
      <c r="N40" cm="1">
        <f t="array" ref="N40">CARDS_NEEDED($E40, $F40, $B40, $S$3:$W$16, $S$2:$W$2, $L40)</f>
        <v>2</v>
      </c>
      <c r="O40">
        <f t="shared" si="13"/>
        <v>50000</v>
      </c>
      <c r="P40">
        <f t="shared" si="14"/>
        <v>6</v>
      </c>
      <c r="R40">
        <v>13</v>
      </c>
      <c r="S40">
        <v>75000</v>
      </c>
      <c r="AE40"/>
    </row>
    <row r="41" spans="1:31" x14ac:dyDescent="0.3">
      <c r="A41" t="s">
        <v>119</v>
      </c>
      <c r="B41" t="s">
        <v>9</v>
      </c>
      <c r="C41" t="s">
        <v>147</v>
      </c>
      <c r="D41">
        <v>3</v>
      </c>
      <c r="E41">
        <v>6</v>
      </c>
      <c r="F41">
        <v>0</v>
      </c>
      <c r="I41">
        <f t="shared" ca="1" si="9"/>
        <v>426</v>
      </c>
      <c r="J41">
        <f t="shared" ca="1" si="10"/>
        <v>426</v>
      </c>
      <c r="K41">
        <f t="shared" si="11"/>
        <v>240000</v>
      </c>
      <c r="L41" cm="1">
        <f t="array" ref="L41">LEVEL_POSSIBLE($E41, $F41, $B41, $S$3:$W$16, $S$2:$W$2)</f>
        <v>6</v>
      </c>
      <c r="M41">
        <f t="shared" ca="1" si="12"/>
        <v>0</v>
      </c>
      <c r="N41" cm="1">
        <f t="array" ref="N41">CARDS_NEEDED($E41, $F41, $B41, $S$3:$W$16, $S$2:$W$2, $L41)</f>
        <v>2</v>
      </c>
      <c r="O41">
        <f t="shared" si="13"/>
        <v>50000</v>
      </c>
      <c r="P41">
        <f t="shared" si="14"/>
        <v>6</v>
      </c>
      <c r="R41">
        <v>14</v>
      </c>
      <c r="S41">
        <v>100000</v>
      </c>
      <c r="AE41"/>
    </row>
    <row r="42" spans="1:31" x14ac:dyDescent="0.3">
      <c r="A42" t="s">
        <v>18</v>
      </c>
      <c r="B42" t="s">
        <v>9</v>
      </c>
      <c r="C42" t="s">
        <v>148</v>
      </c>
      <c r="D42">
        <v>4</v>
      </c>
      <c r="E42">
        <v>6</v>
      </c>
      <c r="F42">
        <v>0</v>
      </c>
      <c r="H42">
        <v>0</v>
      </c>
      <c r="I42">
        <f t="shared" ca="1" si="9"/>
        <v>426</v>
      </c>
      <c r="J42">
        <f t="shared" ca="1" si="10"/>
        <v>426</v>
      </c>
      <c r="K42">
        <f t="shared" si="11"/>
        <v>240000</v>
      </c>
      <c r="L42" cm="1">
        <f t="array" ref="L42">LEVEL_POSSIBLE($E42, $F42, $B42, $S$3:$W$16, $S$2:$W$2)</f>
        <v>6</v>
      </c>
      <c r="M42">
        <f t="shared" ca="1" si="12"/>
        <v>0</v>
      </c>
      <c r="N42" cm="1">
        <f t="array" ref="N42">CARDS_NEEDED($E42, $F42, $B42, $S$3:$W$16, $S$2:$W$2, $L42)</f>
        <v>2</v>
      </c>
      <c r="O42">
        <f t="shared" si="13"/>
        <v>50000</v>
      </c>
      <c r="P42">
        <f t="shared" si="14"/>
        <v>6</v>
      </c>
      <c r="AE42"/>
    </row>
    <row r="43" spans="1:31" x14ac:dyDescent="0.3">
      <c r="A43" t="s">
        <v>55</v>
      </c>
      <c r="B43" t="s">
        <v>9</v>
      </c>
      <c r="C43" t="s">
        <v>148</v>
      </c>
      <c r="D43">
        <v>4</v>
      </c>
      <c r="E43">
        <v>6</v>
      </c>
      <c r="F43">
        <v>0</v>
      </c>
      <c r="H43">
        <v>0</v>
      </c>
      <c r="I43">
        <f t="shared" ca="1" si="9"/>
        <v>426</v>
      </c>
      <c r="J43">
        <f t="shared" ca="1" si="10"/>
        <v>426</v>
      </c>
      <c r="K43">
        <f t="shared" si="11"/>
        <v>240000</v>
      </c>
      <c r="L43" cm="1">
        <f t="array" ref="L43">LEVEL_POSSIBLE($E43, $F43, $B43, $S$3:$W$16, $S$2:$W$2)</f>
        <v>6</v>
      </c>
      <c r="M43">
        <f t="shared" ca="1" si="12"/>
        <v>0</v>
      </c>
      <c r="N43" cm="1">
        <f t="array" ref="N43">CARDS_NEEDED($E43, $F43, $B43, $S$3:$W$16, $S$2:$W$2, $L43)</f>
        <v>2</v>
      </c>
      <c r="O43">
        <f t="shared" si="13"/>
        <v>50000</v>
      </c>
      <c r="P43">
        <f t="shared" si="14"/>
        <v>6</v>
      </c>
      <c r="AE43"/>
    </row>
    <row r="44" spans="1:31" x14ac:dyDescent="0.3">
      <c r="A44" t="s">
        <v>25</v>
      </c>
      <c r="B44" t="s">
        <v>9</v>
      </c>
      <c r="C44" t="s">
        <v>147</v>
      </c>
      <c r="D44">
        <v>4</v>
      </c>
      <c r="E44">
        <v>6</v>
      </c>
      <c r="F44">
        <v>0</v>
      </c>
      <c r="I44">
        <f t="shared" ca="1" si="9"/>
        <v>426</v>
      </c>
      <c r="J44">
        <f t="shared" ca="1" si="10"/>
        <v>426</v>
      </c>
      <c r="K44">
        <f t="shared" si="11"/>
        <v>240000</v>
      </c>
      <c r="L44" cm="1">
        <f t="array" ref="L44">LEVEL_POSSIBLE($E44, $F44, $B44, $S$3:$W$16, $S$2:$W$2)</f>
        <v>6</v>
      </c>
      <c r="M44">
        <f t="shared" ca="1" si="12"/>
        <v>0</v>
      </c>
      <c r="N44" cm="1">
        <f t="array" ref="N44">CARDS_NEEDED($E44, $F44, $B44, $S$3:$W$16, $S$2:$W$2, $L44)</f>
        <v>2</v>
      </c>
      <c r="O44">
        <f t="shared" si="13"/>
        <v>50000</v>
      </c>
      <c r="P44">
        <f t="shared" si="14"/>
        <v>6</v>
      </c>
      <c r="AE44"/>
    </row>
    <row r="45" spans="1:31" x14ac:dyDescent="0.3">
      <c r="A45" t="s">
        <v>73</v>
      </c>
      <c r="B45" t="s">
        <v>9</v>
      </c>
      <c r="C45" t="s">
        <v>147</v>
      </c>
      <c r="D45">
        <v>4</v>
      </c>
      <c r="E45">
        <v>6</v>
      </c>
      <c r="F45">
        <v>0</v>
      </c>
      <c r="I45">
        <f t="shared" ca="1" si="9"/>
        <v>426</v>
      </c>
      <c r="J45">
        <f t="shared" ca="1" si="10"/>
        <v>426</v>
      </c>
      <c r="K45">
        <f t="shared" si="11"/>
        <v>240000</v>
      </c>
      <c r="L45" cm="1">
        <f t="array" ref="L45">LEVEL_POSSIBLE($E45, $F45, $B45, $S$3:$W$16, $S$2:$W$2)</f>
        <v>6</v>
      </c>
      <c r="M45">
        <f t="shared" ca="1" si="12"/>
        <v>0</v>
      </c>
      <c r="N45" cm="1">
        <f t="array" ref="N45">CARDS_NEEDED($E45, $F45, $B45, $S$3:$W$16, $S$2:$W$2, $L45)</f>
        <v>2</v>
      </c>
      <c r="O45">
        <f t="shared" si="13"/>
        <v>50000</v>
      </c>
      <c r="P45">
        <f t="shared" si="14"/>
        <v>6</v>
      </c>
      <c r="AE45"/>
    </row>
    <row r="46" spans="1:31" x14ac:dyDescent="0.3">
      <c r="A46" t="s">
        <v>117</v>
      </c>
      <c r="B46" t="s">
        <v>9</v>
      </c>
      <c r="C46" t="s">
        <v>147</v>
      </c>
      <c r="D46">
        <v>4</v>
      </c>
      <c r="E46">
        <v>6</v>
      </c>
      <c r="F46">
        <v>0</v>
      </c>
      <c r="I46">
        <f t="shared" ca="1" si="9"/>
        <v>426</v>
      </c>
      <c r="J46">
        <f t="shared" ca="1" si="10"/>
        <v>426</v>
      </c>
      <c r="K46">
        <f t="shared" si="11"/>
        <v>240000</v>
      </c>
      <c r="L46" cm="1">
        <f t="array" ref="L46">LEVEL_POSSIBLE($E46, $F46, $B46, $S$3:$W$16, $S$2:$W$2)</f>
        <v>6</v>
      </c>
      <c r="M46">
        <f t="shared" ca="1" si="12"/>
        <v>0</v>
      </c>
      <c r="N46" cm="1">
        <f t="array" ref="N46">CARDS_NEEDED($E46, $F46, $B46, $S$3:$W$16, $S$2:$W$2, $L46)</f>
        <v>2</v>
      </c>
      <c r="O46">
        <f t="shared" si="13"/>
        <v>50000</v>
      </c>
      <c r="P46">
        <f t="shared" si="14"/>
        <v>6</v>
      </c>
      <c r="AE46"/>
    </row>
    <row r="47" spans="1:31" x14ac:dyDescent="0.3">
      <c r="A47" t="s">
        <v>118</v>
      </c>
      <c r="B47" t="s">
        <v>9</v>
      </c>
      <c r="C47" t="s">
        <v>147</v>
      </c>
      <c r="D47">
        <v>4</v>
      </c>
      <c r="E47">
        <v>6</v>
      </c>
      <c r="F47">
        <v>0</v>
      </c>
      <c r="I47">
        <f t="shared" ca="1" si="9"/>
        <v>426</v>
      </c>
      <c r="J47">
        <f t="shared" ca="1" si="10"/>
        <v>426</v>
      </c>
      <c r="K47">
        <f t="shared" si="11"/>
        <v>240000</v>
      </c>
      <c r="L47" cm="1">
        <f t="array" ref="L47">LEVEL_POSSIBLE($E47, $F47, $B47, $S$3:$W$16, $S$2:$W$2)</f>
        <v>6</v>
      </c>
      <c r="M47">
        <f t="shared" ca="1" si="12"/>
        <v>0</v>
      </c>
      <c r="N47" cm="1">
        <f t="array" ref="N47">CARDS_NEEDED($E47, $F47, $B47, $S$3:$W$16, $S$2:$W$2, $L47)</f>
        <v>2</v>
      </c>
      <c r="O47">
        <f t="shared" si="13"/>
        <v>50000</v>
      </c>
      <c r="P47">
        <f t="shared" si="14"/>
        <v>6</v>
      </c>
      <c r="AE47"/>
    </row>
    <row r="48" spans="1:31" x14ac:dyDescent="0.3">
      <c r="A48" t="s">
        <v>20</v>
      </c>
      <c r="B48" t="s">
        <v>9</v>
      </c>
      <c r="C48" t="s">
        <v>147</v>
      </c>
      <c r="D48">
        <v>5</v>
      </c>
      <c r="E48">
        <v>6</v>
      </c>
      <c r="F48">
        <v>0</v>
      </c>
      <c r="I48">
        <f t="shared" ca="1" si="9"/>
        <v>426</v>
      </c>
      <c r="J48">
        <f t="shared" ca="1" si="10"/>
        <v>426</v>
      </c>
      <c r="K48">
        <f t="shared" si="11"/>
        <v>240000</v>
      </c>
      <c r="L48" cm="1">
        <f t="array" ref="L48">LEVEL_POSSIBLE($E48, $F48, $B48, $S$3:$W$16, $S$2:$W$2)</f>
        <v>6</v>
      </c>
      <c r="M48">
        <f t="shared" ca="1" si="12"/>
        <v>0</v>
      </c>
      <c r="N48" cm="1">
        <f t="array" ref="N48">CARDS_NEEDED($E48, $F48, $B48, $S$3:$W$16, $S$2:$W$2, $L48)</f>
        <v>2</v>
      </c>
      <c r="O48">
        <f t="shared" si="13"/>
        <v>50000</v>
      </c>
      <c r="P48">
        <f t="shared" si="14"/>
        <v>6</v>
      </c>
      <c r="AE48"/>
    </row>
    <row r="49" spans="1:31" x14ac:dyDescent="0.3">
      <c r="A49" t="s">
        <v>51</v>
      </c>
      <c r="B49" t="s">
        <v>9</v>
      </c>
      <c r="C49" t="s">
        <v>147</v>
      </c>
      <c r="D49">
        <v>5</v>
      </c>
      <c r="E49">
        <v>6</v>
      </c>
      <c r="F49">
        <v>0</v>
      </c>
      <c r="I49">
        <f t="shared" ca="1" si="9"/>
        <v>426</v>
      </c>
      <c r="J49">
        <f t="shared" ca="1" si="10"/>
        <v>426</v>
      </c>
      <c r="K49">
        <f t="shared" si="11"/>
        <v>240000</v>
      </c>
      <c r="L49" cm="1">
        <f t="array" ref="L49">LEVEL_POSSIBLE($E49, $F49, $B49, $S$3:$W$16, $S$2:$W$2)</f>
        <v>6</v>
      </c>
      <c r="M49">
        <f t="shared" ca="1" si="12"/>
        <v>0</v>
      </c>
      <c r="N49" cm="1">
        <f t="array" ref="N49">CARDS_NEEDED($E49, $F49, $B49, $S$3:$W$16, $S$2:$W$2, $L49)</f>
        <v>2</v>
      </c>
      <c r="O49">
        <f t="shared" si="13"/>
        <v>50000</v>
      </c>
      <c r="P49">
        <f t="shared" si="14"/>
        <v>6</v>
      </c>
      <c r="AE49"/>
    </row>
    <row r="50" spans="1:31" x14ac:dyDescent="0.3">
      <c r="A50" t="s">
        <v>29</v>
      </c>
      <c r="B50" t="s">
        <v>9</v>
      </c>
      <c r="C50" t="s">
        <v>147</v>
      </c>
      <c r="D50">
        <v>5</v>
      </c>
      <c r="E50">
        <v>6</v>
      </c>
      <c r="F50">
        <v>0</v>
      </c>
      <c r="I50">
        <f t="shared" ca="1" si="9"/>
        <v>426</v>
      </c>
      <c r="J50">
        <f t="shared" ca="1" si="10"/>
        <v>426</v>
      </c>
      <c r="K50">
        <f t="shared" si="11"/>
        <v>240000</v>
      </c>
      <c r="L50" cm="1">
        <f t="array" ref="L50">LEVEL_POSSIBLE($E50, $F50, $B50, $S$3:$W$16, $S$2:$W$2)</f>
        <v>6</v>
      </c>
      <c r="M50">
        <f t="shared" ca="1" si="12"/>
        <v>0</v>
      </c>
      <c r="N50" cm="1">
        <f t="array" ref="N50">CARDS_NEEDED($E50, $F50, $B50, $S$3:$W$16, $S$2:$W$2, $L50)</f>
        <v>2</v>
      </c>
      <c r="O50">
        <f t="shared" si="13"/>
        <v>50000</v>
      </c>
      <c r="P50">
        <f t="shared" si="14"/>
        <v>6</v>
      </c>
      <c r="AE50"/>
    </row>
    <row r="51" spans="1:31" x14ac:dyDescent="0.3">
      <c r="A51" t="s">
        <v>40</v>
      </c>
      <c r="B51" t="s">
        <v>9</v>
      </c>
      <c r="C51" t="s">
        <v>147</v>
      </c>
      <c r="D51">
        <v>5</v>
      </c>
      <c r="E51">
        <v>6</v>
      </c>
      <c r="F51">
        <v>0</v>
      </c>
      <c r="I51">
        <f t="shared" ca="1" si="9"/>
        <v>426</v>
      </c>
      <c r="J51">
        <f t="shared" ca="1" si="10"/>
        <v>426</v>
      </c>
      <c r="K51">
        <f t="shared" si="11"/>
        <v>240000</v>
      </c>
      <c r="L51" cm="1">
        <f t="array" ref="L51">LEVEL_POSSIBLE($E51, $F51, $B51, $S$3:$W$16, $S$2:$W$2)</f>
        <v>6</v>
      </c>
      <c r="M51">
        <f t="shared" ca="1" si="12"/>
        <v>0</v>
      </c>
      <c r="N51" cm="1">
        <f t="array" ref="N51">CARDS_NEEDED($E51, $F51, $B51, $S$3:$W$16, $S$2:$W$2, $L51)</f>
        <v>2</v>
      </c>
      <c r="O51">
        <f t="shared" si="13"/>
        <v>50000</v>
      </c>
      <c r="P51">
        <f t="shared" si="14"/>
        <v>6</v>
      </c>
      <c r="AE51"/>
    </row>
    <row r="52" spans="1:31" x14ac:dyDescent="0.3">
      <c r="A52" t="s">
        <v>57</v>
      </c>
      <c r="B52" t="s">
        <v>9</v>
      </c>
      <c r="C52" t="s">
        <v>147</v>
      </c>
      <c r="D52">
        <v>5</v>
      </c>
      <c r="E52">
        <v>6</v>
      </c>
      <c r="F52">
        <v>0</v>
      </c>
      <c r="I52">
        <f t="shared" ca="1" si="9"/>
        <v>426</v>
      </c>
      <c r="J52">
        <f t="shared" ca="1" si="10"/>
        <v>426</v>
      </c>
      <c r="K52">
        <f t="shared" si="11"/>
        <v>240000</v>
      </c>
      <c r="L52" cm="1">
        <f t="array" ref="L52">LEVEL_POSSIBLE($E52, $F52, $B52, $S$3:$W$16, $S$2:$W$2)</f>
        <v>6</v>
      </c>
      <c r="M52">
        <f t="shared" ca="1" si="12"/>
        <v>0</v>
      </c>
      <c r="N52" cm="1">
        <f t="array" ref="N52">CARDS_NEEDED($E52, $F52, $B52, $S$3:$W$16, $S$2:$W$2, $L52)</f>
        <v>2</v>
      </c>
      <c r="O52">
        <f t="shared" si="13"/>
        <v>50000</v>
      </c>
      <c r="P52">
        <f t="shared" si="14"/>
        <v>6</v>
      </c>
      <c r="AE52"/>
    </row>
    <row r="53" spans="1:31" x14ac:dyDescent="0.3">
      <c r="A53" t="s">
        <v>72</v>
      </c>
      <c r="B53" t="s">
        <v>9</v>
      </c>
      <c r="C53" t="s">
        <v>148</v>
      </c>
      <c r="D53">
        <v>5</v>
      </c>
      <c r="E53">
        <v>6</v>
      </c>
      <c r="F53">
        <v>0</v>
      </c>
      <c r="H53">
        <v>0</v>
      </c>
      <c r="I53">
        <f t="shared" ca="1" si="9"/>
        <v>426</v>
      </c>
      <c r="J53">
        <f t="shared" ca="1" si="10"/>
        <v>426</v>
      </c>
      <c r="K53">
        <f t="shared" si="11"/>
        <v>240000</v>
      </c>
      <c r="L53" cm="1">
        <f t="array" ref="L53">LEVEL_POSSIBLE($E53, $F53, $B53, $S$3:$W$16, $S$2:$W$2)</f>
        <v>6</v>
      </c>
      <c r="M53">
        <f t="shared" ca="1" si="12"/>
        <v>0</v>
      </c>
      <c r="N53" cm="1">
        <f t="array" ref="N53">CARDS_NEEDED($E53, $F53, $B53, $S$3:$W$16, $S$2:$W$2, $L53)</f>
        <v>2</v>
      </c>
      <c r="O53">
        <f t="shared" si="13"/>
        <v>50000</v>
      </c>
      <c r="P53">
        <f t="shared" si="14"/>
        <v>6</v>
      </c>
      <c r="AE53"/>
    </row>
    <row r="54" spans="1:31" x14ac:dyDescent="0.3">
      <c r="A54" t="s">
        <v>94</v>
      </c>
      <c r="B54" t="s">
        <v>9</v>
      </c>
      <c r="C54" t="s">
        <v>147</v>
      </c>
      <c r="D54">
        <v>5</v>
      </c>
      <c r="E54">
        <v>6</v>
      </c>
      <c r="F54">
        <v>0</v>
      </c>
      <c r="I54">
        <f t="shared" ca="1" si="9"/>
        <v>426</v>
      </c>
      <c r="J54">
        <f t="shared" ca="1" si="10"/>
        <v>426</v>
      </c>
      <c r="K54">
        <f t="shared" si="11"/>
        <v>240000</v>
      </c>
      <c r="L54" cm="1">
        <f t="array" ref="L54">LEVEL_POSSIBLE($E54, $F54, $B54, $S$3:$W$16, $S$2:$W$2)</f>
        <v>6</v>
      </c>
      <c r="M54">
        <f t="shared" ca="1" si="12"/>
        <v>0</v>
      </c>
      <c r="N54" cm="1">
        <f t="array" ref="N54">CARDS_NEEDED($E54, $F54, $B54, $S$3:$W$16, $S$2:$W$2, $L54)</f>
        <v>2</v>
      </c>
      <c r="O54">
        <f t="shared" si="13"/>
        <v>50000</v>
      </c>
      <c r="P54">
        <f t="shared" si="14"/>
        <v>6</v>
      </c>
      <c r="AE54"/>
    </row>
    <row r="55" spans="1:31" x14ac:dyDescent="0.3">
      <c r="A55" t="s">
        <v>22</v>
      </c>
      <c r="B55" t="s">
        <v>9</v>
      </c>
      <c r="C55" t="s">
        <v>147</v>
      </c>
      <c r="D55">
        <v>6</v>
      </c>
      <c r="E55">
        <v>6</v>
      </c>
      <c r="F55">
        <v>0</v>
      </c>
      <c r="I55">
        <f t="shared" ca="1" si="9"/>
        <v>426</v>
      </c>
      <c r="J55">
        <f t="shared" ca="1" si="10"/>
        <v>426</v>
      </c>
      <c r="K55">
        <f t="shared" si="11"/>
        <v>240000</v>
      </c>
      <c r="L55" cm="1">
        <f t="array" ref="L55">LEVEL_POSSIBLE($E55, $F55, $B55, $S$3:$W$16, $S$2:$W$2)</f>
        <v>6</v>
      </c>
      <c r="M55">
        <f t="shared" ca="1" si="12"/>
        <v>0</v>
      </c>
      <c r="N55" cm="1">
        <f t="array" ref="N55">CARDS_NEEDED($E55, $F55, $B55, $S$3:$W$16, $S$2:$W$2, $L55)</f>
        <v>2</v>
      </c>
      <c r="O55">
        <f t="shared" si="13"/>
        <v>50000</v>
      </c>
      <c r="P55">
        <f t="shared" si="14"/>
        <v>6</v>
      </c>
      <c r="AE55"/>
    </row>
    <row r="56" spans="1:31" x14ac:dyDescent="0.3">
      <c r="A56" t="s">
        <v>70</v>
      </c>
      <c r="B56" t="s">
        <v>9</v>
      </c>
      <c r="C56" t="s">
        <v>147</v>
      </c>
      <c r="D56">
        <v>6</v>
      </c>
      <c r="E56">
        <v>6</v>
      </c>
      <c r="F56">
        <v>0</v>
      </c>
      <c r="I56">
        <f t="shared" ca="1" si="9"/>
        <v>426</v>
      </c>
      <c r="J56">
        <f t="shared" ca="1" si="10"/>
        <v>426</v>
      </c>
      <c r="K56">
        <f t="shared" si="11"/>
        <v>240000</v>
      </c>
      <c r="L56" cm="1">
        <f t="array" ref="L56">LEVEL_POSSIBLE($E56, $F56, $B56, $S$3:$W$16, $S$2:$W$2)</f>
        <v>6</v>
      </c>
      <c r="M56">
        <f t="shared" ca="1" si="12"/>
        <v>0</v>
      </c>
      <c r="N56" cm="1">
        <f t="array" ref="N56">CARDS_NEEDED($E56, $F56, $B56, $S$3:$W$16, $S$2:$W$2, $L56)</f>
        <v>2</v>
      </c>
      <c r="O56">
        <f t="shared" si="13"/>
        <v>50000</v>
      </c>
      <c r="P56">
        <f t="shared" si="14"/>
        <v>6</v>
      </c>
      <c r="AE56"/>
    </row>
    <row r="57" spans="1:31" x14ac:dyDescent="0.3">
      <c r="A57" t="s">
        <v>71</v>
      </c>
      <c r="B57" t="s">
        <v>9</v>
      </c>
      <c r="C57" t="s">
        <v>148</v>
      </c>
      <c r="D57">
        <v>6</v>
      </c>
      <c r="E57">
        <v>6</v>
      </c>
      <c r="F57">
        <v>0</v>
      </c>
      <c r="H57">
        <v>0</v>
      </c>
      <c r="I57">
        <f t="shared" ca="1" si="9"/>
        <v>426</v>
      </c>
      <c r="J57">
        <f t="shared" ca="1" si="10"/>
        <v>426</v>
      </c>
      <c r="K57">
        <f t="shared" si="11"/>
        <v>240000</v>
      </c>
      <c r="L57" cm="1">
        <f t="array" ref="L57">LEVEL_POSSIBLE($E57, $F57, $B57, $S$3:$W$16, $S$2:$W$2)</f>
        <v>6</v>
      </c>
      <c r="M57">
        <f t="shared" ca="1" si="12"/>
        <v>0</v>
      </c>
      <c r="N57" cm="1">
        <f t="array" ref="N57">CARDS_NEEDED($E57, $F57, $B57, $S$3:$W$16, $S$2:$W$2, $L57)</f>
        <v>2</v>
      </c>
      <c r="O57">
        <f t="shared" si="13"/>
        <v>50000</v>
      </c>
      <c r="P57">
        <f t="shared" si="14"/>
        <v>6</v>
      </c>
      <c r="AE57"/>
    </row>
    <row r="58" spans="1:31" x14ac:dyDescent="0.3">
      <c r="A58" t="s">
        <v>93</v>
      </c>
      <c r="B58" t="s">
        <v>9</v>
      </c>
      <c r="C58" t="s">
        <v>147</v>
      </c>
      <c r="D58">
        <v>6</v>
      </c>
      <c r="E58">
        <v>6</v>
      </c>
      <c r="F58">
        <v>0</v>
      </c>
      <c r="I58">
        <f t="shared" ca="1" si="9"/>
        <v>426</v>
      </c>
      <c r="J58">
        <f t="shared" ca="1" si="10"/>
        <v>426</v>
      </c>
      <c r="K58">
        <f t="shared" si="11"/>
        <v>240000</v>
      </c>
      <c r="L58" cm="1">
        <f t="array" ref="L58">LEVEL_POSSIBLE($E58, $F58, $B58, $S$3:$W$16, $S$2:$W$2)</f>
        <v>6</v>
      </c>
      <c r="M58">
        <f t="shared" ca="1" si="12"/>
        <v>0</v>
      </c>
      <c r="N58" cm="1">
        <f t="array" ref="N58">CARDS_NEEDED($E58, $F58, $B58, $S$3:$W$16, $S$2:$W$2, $L58)</f>
        <v>2</v>
      </c>
      <c r="O58">
        <f t="shared" si="13"/>
        <v>50000</v>
      </c>
      <c r="P58">
        <f t="shared" si="14"/>
        <v>6</v>
      </c>
      <c r="AE58"/>
    </row>
    <row r="59" spans="1:31" x14ac:dyDescent="0.3">
      <c r="A59" t="s">
        <v>19</v>
      </c>
      <c r="B59" t="s">
        <v>9</v>
      </c>
      <c r="C59" t="s">
        <v>148</v>
      </c>
      <c r="D59">
        <v>7</v>
      </c>
      <c r="E59">
        <v>6</v>
      </c>
      <c r="F59">
        <v>0</v>
      </c>
      <c r="H59">
        <v>0</v>
      </c>
      <c r="I59">
        <f t="shared" ca="1" si="9"/>
        <v>426</v>
      </c>
      <c r="J59">
        <f t="shared" ca="1" si="10"/>
        <v>426</v>
      </c>
      <c r="K59">
        <f t="shared" si="11"/>
        <v>240000</v>
      </c>
      <c r="L59" cm="1">
        <f t="array" ref="L59">LEVEL_POSSIBLE($E59, $F59, $B59, $S$3:$W$16, $S$2:$W$2)</f>
        <v>6</v>
      </c>
      <c r="M59">
        <f t="shared" ca="1" si="12"/>
        <v>0</v>
      </c>
      <c r="N59" cm="1">
        <f t="array" ref="N59">CARDS_NEEDED($E59, $F59, $B59, $S$3:$W$16, $S$2:$W$2, $L59)</f>
        <v>2</v>
      </c>
      <c r="O59">
        <f t="shared" si="13"/>
        <v>50000</v>
      </c>
      <c r="P59">
        <f t="shared" si="14"/>
        <v>6</v>
      </c>
      <c r="AE59"/>
    </row>
    <row r="60" spans="1:31" x14ac:dyDescent="0.3">
      <c r="A60" t="s">
        <v>113</v>
      </c>
      <c r="B60" t="s">
        <v>9</v>
      </c>
      <c r="C60" t="s">
        <v>147</v>
      </c>
      <c r="D60">
        <v>7</v>
      </c>
      <c r="E60">
        <v>6</v>
      </c>
      <c r="F60">
        <v>0</v>
      </c>
      <c r="I60">
        <f t="shared" ca="1" si="9"/>
        <v>426</v>
      </c>
      <c r="J60">
        <f t="shared" ca="1" si="10"/>
        <v>426</v>
      </c>
      <c r="K60">
        <f t="shared" si="11"/>
        <v>240000</v>
      </c>
      <c r="L60" cm="1">
        <f t="array" ref="L60">LEVEL_POSSIBLE($E60, $F60, $B60, $S$3:$W$16, $S$2:$W$2)</f>
        <v>6</v>
      </c>
      <c r="M60">
        <f t="shared" ca="1" si="12"/>
        <v>0</v>
      </c>
      <c r="N60" cm="1">
        <f t="array" ref="N60">CARDS_NEEDED($E60, $F60, $B60, $S$3:$W$16, $S$2:$W$2, $L60)</f>
        <v>2</v>
      </c>
      <c r="O60">
        <f t="shared" si="13"/>
        <v>50000</v>
      </c>
      <c r="P60">
        <f t="shared" si="14"/>
        <v>6</v>
      </c>
      <c r="AE60"/>
    </row>
    <row r="61" spans="1:31" x14ac:dyDescent="0.3">
      <c r="A61" t="s">
        <v>116</v>
      </c>
      <c r="B61" t="s">
        <v>9</v>
      </c>
      <c r="C61" t="s">
        <v>147</v>
      </c>
      <c r="D61">
        <v>8</v>
      </c>
      <c r="E61">
        <v>6</v>
      </c>
      <c r="F61">
        <v>0</v>
      </c>
      <c r="I61">
        <f t="shared" ca="1" si="9"/>
        <v>426</v>
      </c>
      <c r="J61">
        <f t="shared" ca="1" si="10"/>
        <v>426</v>
      </c>
      <c r="K61">
        <f t="shared" si="11"/>
        <v>240000</v>
      </c>
      <c r="L61" cm="1">
        <f t="array" ref="L61">LEVEL_POSSIBLE($E61, $F61, $B61, $S$3:$W$16, $S$2:$W$2)</f>
        <v>6</v>
      </c>
      <c r="M61">
        <f t="shared" ca="1" si="12"/>
        <v>0</v>
      </c>
      <c r="N61" cm="1">
        <f t="array" ref="N61">CARDS_NEEDED($E61, $F61, $B61, $S$3:$W$16, $S$2:$W$2, $L61)</f>
        <v>2</v>
      </c>
      <c r="O61">
        <f t="shared" si="13"/>
        <v>50000</v>
      </c>
      <c r="P61">
        <f t="shared" si="14"/>
        <v>6</v>
      </c>
      <c r="AE61"/>
    </row>
    <row r="62" spans="1:31" x14ac:dyDescent="0.3">
      <c r="A62" t="s">
        <v>130</v>
      </c>
      <c r="B62" t="s">
        <v>9</v>
      </c>
      <c r="C62" t="s">
        <v>147</v>
      </c>
      <c r="D62" t="s">
        <v>146</v>
      </c>
      <c r="E62">
        <v>6</v>
      </c>
      <c r="F62">
        <v>0</v>
      </c>
      <c r="I62">
        <f t="shared" ca="1" si="9"/>
        <v>426</v>
      </c>
      <c r="J62">
        <f t="shared" ca="1" si="10"/>
        <v>426</v>
      </c>
      <c r="K62">
        <f t="shared" si="11"/>
        <v>240000</v>
      </c>
      <c r="L62" cm="1">
        <f t="array" ref="L62">LEVEL_POSSIBLE($E62, $F62, $B62, $S$3:$W$16, $S$2:$W$2)</f>
        <v>6</v>
      </c>
      <c r="M62">
        <f t="shared" ca="1" si="12"/>
        <v>0</v>
      </c>
      <c r="N62" cm="1">
        <f t="array" ref="N62">CARDS_NEEDED($E62, $F62, $B62, $S$3:$W$16, $S$2:$W$2, $L62)</f>
        <v>2</v>
      </c>
      <c r="O62">
        <f t="shared" si="13"/>
        <v>50000</v>
      </c>
      <c r="P62">
        <f t="shared" si="14"/>
        <v>6</v>
      </c>
      <c r="AE62"/>
    </row>
    <row r="63" spans="1:31" x14ac:dyDescent="0.3">
      <c r="A63" t="s">
        <v>164</v>
      </c>
      <c r="B63" t="s">
        <v>9</v>
      </c>
      <c r="C63" t="s">
        <v>147</v>
      </c>
      <c r="D63">
        <v>4</v>
      </c>
      <c r="E63">
        <v>6</v>
      </c>
      <c r="F63">
        <v>0</v>
      </c>
      <c r="I63">
        <f t="shared" ca="1" si="9"/>
        <v>426</v>
      </c>
      <c r="J63">
        <f t="shared" ca="1" si="10"/>
        <v>426</v>
      </c>
      <c r="K63">
        <f t="shared" si="11"/>
        <v>240000</v>
      </c>
      <c r="L63" cm="1">
        <f t="array" ref="L63">LEVEL_POSSIBLE($E63, $F63, $B63, $S$3:$W$16, $S$2:$W$2)</f>
        <v>6</v>
      </c>
      <c r="M63">
        <f t="shared" ca="1" si="12"/>
        <v>0</v>
      </c>
      <c r="N63" cm="1">
        <f t="array" ref="N63">CARDS_NEEDED($E63, $F63, $B63, $S$3:$W$16, $S$2:$W$2, $L63)</f>
        <v>2</v>
      </c>
      <c r="O63">
        <f t="shared" si="13"/>
        <v>50000</v>
      </c>
      <c r="P63">
        <f t="shared" si="14"/>
        <v>6</v>
      </c>
      <c r="AE63"/>
    </row>
    <row r="64" spans="1:31" x14ac:dyDescent="0.3">
      <c r="A64" t="s">
        <v>54</v>
      </c>
      <c r="B64" t="s">
        <v>7</v>
      </c>
      <c r="C64" t="s">
        <v>147</v>
      </c>
      <c r="D64">
        <v>1</v>
      </c>
      <c r="E64">
        <v>3</v>
      </c>
      <c r="F64">
        <v>0</v>
      </c>
      <c r="I64">
        <f t="shared" ca="1" si="9"/>
        <v>3286</v>
      </c>
      <c r="J64">
        <f t="shared" ca="1" si="10"/>
        <v>3286</v>
      </c>
      <c r="K64">
        <f t="shared" si="11"/>
        <v>240600</v>
      </c>
      <c r="L64" cm="1">
        <f t="array" ref="L64">LEVEL_POSSIBLE($E64, $F64, $B64, $S$3:$W$16, $S$2:$W$2)</f>
        <v>3</v>
      </c>
      <c r="M64">
        <f t="shared" ca="1" si="12"/>
        <v>0</v>
      </c>
      <c r="N64" cm="1">
        <f t="array" ref="N64">CARDS_NEEDED($E64, $F64, $B64, $S$3:$W$16, $S$2:$W$2, $L64)</f>
        <v>2</v>
      </c>
      <c r="O64">
        <f t="shared" si="13"/>
        <v>50000</v>
      </c>
      <c r="P64">
        <f t="shared" si="14"/>
        <v>6</v>
      </c>
      <c r="AE64"/>
    </row>
    <row r="65" spans="1:31" x14ac:dyDescent="0.3">
      <c r="A65" t="s">
        <v>92</v>
      </c>
      <c r="B65" t="s">
        <v>7</v>
      </c>
      <c r="C65" t="s">
        <v>147</v>
      </c>
      <c r="D65">
        <v>2</v>
      </c>
      <c r="E65">
        <v>3</v>
      </c>
      <c r="F65">
        <v>0</v>
      </c>
      <c r="I65">
        <f t="shared" ca="1" si="9"/>
        <v>3286</v>
      </c>
      <c r="J65">
        <f t="shared" ca="1" si="10"/>
        <v>3286</v>
      </c>
      <c r="K65">
        <f t="shared" si="11"/>
        <v>240600</v>
      </c>
      <c r="L65" cm="1">
        <f t="array" ref="L65">LEVEL_POSSIBLE($E65, $F65, $B65, $S$3:$W$16, $S$2:$W$2)</f>
        <v>3</v>
      </c>
      <c r="M65">
        <f t="shared" ca="1" si="12"/>
        <v>0</v>
      </c>
      <c r="N65" cm="1">
        <f t="array" ref="N65">CARDS_NEEDED($E65, $F65, $B65, $S$3:$W$16, $S$2:$W$2, $L65)</f>
        <v>2</v>
      </c>
      <c r="O65">
        <f t="shared" si="13"/>
        <v>50000</v>
      </c>
      <c r="P65">
        <f t="shared" si="14"/>
        <v>6</v>
      </c>
      <c r="AE65"/>
    </row>
    <row r="66" spans="1:31" x14ac:dyDescent="0.3">
      <c r="A66" t="s">
        <v>79</v>
      </c>
      <c r="B66" t="s">
        <v>7</v>
      </c>
      <c r="C66" t="s">
        <v>147</v>
      </c>
      <c r="D66">
        <v>2</v>
      </c>
      <c r="E66">
        <v>3</v>
      </c>
      <c r="F66">
        <v>0</v>
      </c>
      <c r="I66">
        <f t="shared" ref="I66:I97" ca="1" si="15">SUM(OFFSET($S$3:$S$17, $E66, MATCH($B66, $S$2:$W$2, 0) - 1, 16 - $E66, 1))</f>
        <v>3286</v>
      </c>
      <c r="J66">
        <f t="shared" ref="J66:J97" ca="1" si="16">$I66-$F66</f>
        <v>3286</v>
      </c>
      <c r="K66">
        <f t="shared" ref="K66:K97" si="17">SUMIFS($S$29:$S$41, $R$29:$R$41, "&gt;" &amp; $E66)</f>
        <v>240600</v>
      </c>
      <c r="L66" cm="1">
        <f t="array" ref="L66">LEVEL_POSSIBLE($E66, $F66, $B66, $S$3:$W$16, $S$2:$W$2)</f>
        <v>3</v>
      </c>
      <c r="M66">
        <f t="shared" ref="M66:M97" ca="1" si="18">IFERROR(SUM(OFFSET($S$28:$S$41,$E66,0,$L66 - $E66,1)),0)</f>
        <v>0</v>
      </c>
      <c r="N66" cm="1">
        <f t="array" ref="N66">CARDS_NEEDED($E66, $F66, $B66, $S$3:$W$16, $S$2:$W$2, $L66)</f>
        <v>2</v>
      </c>
      <c r="O66">
        <f t="shared" ref="O66:O97" si="19">IF(E66=15,0,50000-$G66)</f>
        <v>50000</v>
      </c>
      <c r="P66">
        <f t="shared" ref="P66:P97" si="20">6-H66</f>
        <v>6</v>
      </c>
      <c r="AE66"/>
    </row>
    <row r="67" spans="1:31" x14ac:dyDescent="0.3">
      <c r="A67" t="s">
        <v>1</v>
      </c>
      <c r="B67" t="s">
        <v>7</v>
      </c>
      <c r="C67" t="s">
        <v>147</v>
      </c>
      <c r="D67">
        <v>3</v>
      </c>
      <c r="E67">
        <v>3</v>
      </c>
      <c r="F67">
        <v>0</v>
      </c>
      <c r="I67">
        <f t="shared" ca="1" si="15"/>
        <v>3286</v>
      </c>
      <c r="J67">
        <f t="shared" ca="1" si="16"/>
        <v>3286</v>
      </c>
      <c r="K67">
        <f t="shared" si="17"/>
        <v>240600</v>
      </c>
      <c r="L67" cm="1">
        <f t="array" ref="L67">LEVEL_POSSIBLE($E67, $F67, $B67, $S$3:$W$16, $S$2:$W$2)</f>
        <v>3</v>
      </c>
      <c r="M67">
        <f t="shared" ca="1" si="18"/>
        <v>0</v>
      </c>
      <c r="N67" cm="1">
        <f t="array" ref="N67">CARDS_NEEDED($E67, $F67, $B67, $S$3:$W$16, $S$2:$W$2, $L67)</f>
        <v>2</v>
      </c>
      <c r="O67">
        <f t="shared" si="19"/>
        <v>50000</v>
      </c>
      <c r="P67">
        <f t="shared" si="20"/>
        <v>6</v>
      </c>
      <c r="AE67"/>
    </row>
    <row r="68" spans="1:31" x14ac:dyDescent="0.3">
      <c r="A68" t="s">
        <v>2</v>
      </c>
      <c r="B68" t="s">
        <v>7</v>
      </c>
      <c r="C68" t="s">
        <v>148</v>
      </c>
      <c r="D68">
        <v>3</v>
      </c>
      <c r="E68">
        <v>3</v>
      </c>
      <c r="F68">
        <v>0</v>
      </c>
      <c r="H68">
        <v>0</v>
      </c>
      <c r="I68">
        <f t="shared" ca="1" si="15"/>
        <v>3286</v>
      </c>
      <c r="J68">
        <f t="shared" ca="1" si="16"/>
        <v>3286</v>
      </c>
      <c r="K68">
        <f t="shared" si="17"/>
        <v>240600</v>
      </c>
      <c r="L68" cm="1">
        <f t="array" ref="L68">LEVEL_POSSIBLE($E68, $F68, $B68, $S$3:$W$16, $S$2:$W$2)</f>
        <v>3</v>
      </c>
      <c r="M68">
        <f t="shared" ca="1" si="18"/>
        <v>0</v>
      </c>
      <c r="N68" cm="1">
        <f t="array" ref="N68">CARDS_NEEDED($E68, $F68, $B68, $S$3:$W$16, $S$2:$W$2, $L68)</f>
        <v>2</v>
      </c>
      <c r="O68">
        <f t="shared" si="19"/>
        <v>50000</v>
      </c>
      <c r="P68">
        <f t="shared" si="20"/>
        <v>6</v>
      </c>
      <c r="AE68"/>
    </row>
    <row r="69" spans="1:31" x14ac:dyDescent="0.3">
      <c r="A69" t="s">
        <v>76</v>
      </c>
      <c r="B69" t="s">
        <v>7</v>
      </c>
      <c r="C69" t="s">
        <v>147</v>
      </c>
      <c r="D69">
        <v>3</v>
      </c>
      <c r="E69">
        <v>3</v>
      </c>
      <c r="F69">
        <v>0</v>
      </c>
      <c r="I69">
        <f t="shared" ca="1" si="15"/>
        <v>3286</v>
      </c>
      <c r="J69">
        <f t="shared" ca="1" si="16"/>
        <v>3286</v>
      </c>
      <c r="K69">
        <f t="shared" si="17"/>
        <v>240600</v>
      </c>
      <c r="L69" cm="1">
        <f t="array" ref="L69">LEVEL_POSSIBLE($E69, $F69, $B69, $S$3:$W$16, $S$2:$W$2)</f>
        <v>3</v>
      </c>
      <c r="M69">
        <f t="shared" ca="1" si="18"/>
        <v>0</v>
      </c>
      <c r="N69" cm="1">
        <f t="array" ref="N69">CARDS_NEEDED($E69, $F69, $B69, $S$3:$W$16, $S$2:$W$2, $L69)</f>
        <v>2</v>
      </c>
      <c r="O69">
        <f t="shared" si="19"/>
        <v>50000</v>
      </c>
      <c r="P69">
        <f t="shared" si="20"/>
        <v>6</v>
      </c>
      <c r="AE69"/>
    </row>
    <row r="70" spans="1:31" x14ac:dyDescent="0.3">
      <c r="A70" t="s">
        <v>123</v>
      </c>
      <c r="B70" t="s">
        <v>7</v>
      </c>
      <c r="C70" t="s">
        <v>147</v>
      </c>
      <c r="D70">
        <v>3</v>
      </c>
      <c r="E70">
        <v>3</v>
      </c>
      <c r="F70">
        <v>0</v>
      </c>
      <c r="I70">
        <f t="shared" ca="1" si="15"/>
        <v>3286</v>
      </c>
      <c r="J70">
        <f t="shared" ca="1" si="16"/>
        <v>3286</v>
      </c>
      <c r="K70">
        <f t="shared" si="17"/>
        <v>240600</v>
      </c>
      <c r="L70" cm="1">
        <f t="array" ref="L70">LEVEL_POSSIBLE($E70, $F70, $B70, $S$3:$W$16, $S$2:$W$2)</f>
        <v>3</v>
      </c>
      <c r="M70">
        <f t="shared" ca="1" si="18"/>
        <v>0</v>
      </c>
      <c r="N70" cm="1">
        <f t="array" ref="N70">CARDS_NEEDED($E70, $F70, $B70, $S$3:$W$16, $S$2:$W$2, $L70)</f>
        <v>2</v>
      </c>
      <c r="O70">
        <f t="shared" si="19"/>
        <v>50000</v>
      </c>
      <c r="P70">
        <f t="shared" si="20"/>
        <v>6</v>
      </c>
      <c r="AE70"/>
    </row>
    <row r="71" spans="1:31" x14ac:dyDescent="0.3">
      <c r="A71" t="s">
        <v>124</v>
      </c>
      <c r="B71" t="s">
        <v>7</v>
      </c>
      <c r="C71" t="s">
        <v>147</v>
      </c>
      <c r="D71">
        <v>3</v>
      </c>
      <c r="E71">
        <v>3</v>
      </c>
      <c r="F71">
        <v>0</v>
      </c>
      <c r="I71">
        <f t="shared" ca="1" si="15"/>
        <v>3286</v>
      </c>
      <c r="J71">
        <f t="shared" ca="1" si="16"/>
        <v>3286</v>
      </c>
      <c r="K71">
        <f t="shared" si="17"/>
        <v>240600</v>
      </c>
      <c r="L71" cm="1">
        <f t="array" ref="L71">LEVEL_POSSIBLE($E71, $F71, $B71, $S$3:$W$16, $S$2:$W$2)</f>
        <v>3</v>
      </c>
      <c r="M71">
        <f t="shared" ca="1" si="18"/>
        <v>0</v>
      </c>
      <c r="N71" cm="1">
        <f t="array" ref="N71">CARDS_NEEDED($E71, $F71, $B71, $S$3:$W$16, $S$2:$W$2, $L71)</f>
        <v>2</v>
      </c>
      <c r="O71">
        <f t="shared" si="19"/>
        <v>50000</v>
      </c>
      <c r="P71">
        <f t="shared" si="20"/>
        <v>6</v>
      </c>
      <c r="AE71"/>
    </row>
    <row r="72" spans="1:31" x14ac:dyDescent="0.3">
      <c r="A72" t="s">
        <v>21</v>
      </c>
      <c r="B72" t="s">
        <v>7</v>
      </c>
      <c r="C72" t="s">
        <v>147</v>
      </c>
      <c r="D72">
        <v>4</v>
      </c>
      <c r="E72">
        <v>3</v>
      </c>
      <c r="F72">
        <v>0</v>
      </c>
      <c r="I72">
        <f t="shared" ca="1" si="15"/>
        <v>3286</v>
      </c>
      <c r="J72">
        <f t="shared" ca="1" si="16"/>
        <v>3286</v>
      </c>
      <c r="K72">
        <f t="shared" si="17"/>
        <v>240600</v>
      </c>
      <c r="L72" cm="1">
        <f t="array" ref="L72">LEVEL_POSSIBLE($E72, $F72, $B72, $S$3:$W$16, $S$2:$W$2)</f>
        <v>3</v>
      </c>
      <c r="M72">
        <f t="shared" ca="1" si="18"/>
        <v>0</v>
      </c>
      <c r="N72" cm="1">
        <f t="array" ref="N72">CARDS_NEEDED($E72, $F72, $B72, $S$3:$W$16, $S$2:$W$2, $L72)</f>
        <v>2</v>
      </c>
      <c r="O72">
        <f t="shared" si="19"/>
        <v>50000</v>
      </c>
      <c r="P72">
        <f t="shared" si="20"/>
        <v>6</v>
      </c>
      <c r="AE72"/>
    </row>
    <row r="73" spans="1:31" x14ac:dyDescent="0.3">
      <c r="A73" t="s">
        <v>50</v>
      </c>
      <c r="B73" t="s">
        <v>7</v>
      </c>
      <c r="C73" t="s">
        <v>147</v>
      </c>
      <c r="D73">
        <v>4</v>
      </c>
      <c r="E73">
        <v>3</v>
      </c>
      <c r="F73">
        <v>0</v>
      </c>
      <c r="I73">
        <f t="shared" ca="1" si="15"/>
        <v>3286</v>
      </c>
      <c r="J73">
        <f t="shared" ca="1" si="16"/>
        <v>3286</v>
      </c>
      <c r="K73">
        <f t="shared" si="17"/>
        <v>240600</v>
      </c>
      <c r="L73" cm="1">
        <f t="array" ref="L73">LEVEL_POSSIBLE($E73, $F73, $B73, $S$3:$W$16, $S$2:$W$2)</f>
        <v>3</v>
      </c>
      <c r="M73">
        <f t="shared" ca="1" si="18"/>
        <v>0</v>
      </c>
      <c r="N73" cm="1">
        <f t="array" ref="N73">CARDS_NEEDED($E73, $F73, $B73, $S$3:$W$16, $S$2:$W$2, $L73)</f>
        <v>2</v>
      </c>
      <c r="O73">
        <f t="shared" si="19"/>
        <v>50000</v>
      </c>
      <c r="P73">
        <f t="shared" si="20"/>
        <v>6</v>
      </c>
      <c r="AE73"/>
    </row>
    <row r="74" spans="1:31" x14ac:dyDescent="0.3">
      <c r="A74" t="s">
        <v>69</v>
      </c>
      <c r="B74" t="s">
        <v>7</v>
      </c>
      <c r="C74" t="s">
        <v>147</v>
      </c>
      <c r="D74">
        <v>4</v>
      </c>
      <c r="E74">
        <v>3</v>
      </c>
      <c r="F74">
        <v>0</v>
      </c>
      <c r="I74">
        <f t="shared" ca="1" si="15"/>
        <v>3286</v>
      </c>
      <c r="J74">
        <f t="shared" ca="1" si="16"/>
        <v>3286</v>
      </c>
      <c r="K74">
        <f t="shared" si="17"/>
        <v>240600</v>
      </c>
      <c r="L74" cm="1">
        <f t="array" ref="L74">LEVEL_POSSIBLE($E74, $F74, $B74, $S$3:$W$16, $S$2:$W$2)</f>
        <v>3</v>
      </c>
      <c r="M74">
        <f t="shared" ca="1" si="18"/>
        <v>0</v>
      </c>
      <c r="N74" cm="1">
        <f t="array" ref="N74">CARDS_NEEDED($E74, $F74, $B74, $S$3:$W$16, $S$2:$W$2, $L74)</f>
        <v>2</v>
      </c>
      <c r="O74">
        <f t="shared" si="19"/>
        <v>50000</v>
      </c>
      <c r="P74">
        <f t="shared" si="20"/>
        <v>6</v>
      </c>
      <c r="AE74"/>
    </row>
    <row r="75" spans="1:31" x14ac:dyDescent="0.3">
      <c r="A75" t="s">
        <v>56</v>
      </c>
      <c r="B75" t="s">
        <v>7</v>
      </c>
      <c r="C75" t="s">
        <v>148</v>
      </c>
      <c r="D75">
        <v>4</v>
      </c>
      <c r="E75">
        <v>3</v>
      </c>
      <c r="F75">
        <v>0</v>
      </c>
      <c r="H75">
        <v>0</v>
      </c>
      <c r="I75">
        <f t="shared" ca="1" si="15"/>
        <v>3286</v>
      </c>
      <c r="J75">
        <f t="shared" ca="1" si="16"/>
        <v>3286</v>
      </c>
      <c r="K75">
        <f t="shared" si="17"/>
        <v>240600</v>
      </c>
      <c r="L75" cm="1">
        <f t="array" ref="L75">LEVEL_POSSIBLE($E75, $F75, $B75, $S$3:$W$16, $S$2:$W$2)</f>
        <v>3</v>
      </c>
      <c r="M75">
        <f t="shared" ca="1" si="18"/>
        <v>0</v>
      </c>
      <c r="N75" cm="1">
        <f t="array" ref="N75">CARDS_NEEDED($E75, $F75, $B75, $S$3:$W$16, $S$2:$W$2, $L75)</f>
        <v>2</v>
      </c>
      <c r="O75">
        <f t="shared" si="19"/>
        <v>50000</v>
      </c>
      <c r="P75">
        <f t="shared" si="20"/>
        <v>6</v>
      </c>
      <c r="AE75"/>
    </row>
    <row r="76" spans="1:31" x14ac:dyDescent="0.3">
      <c r="A76" t="s">
        <v>78</v>
      </c>
      <c r="B76" t="s">
        <v>7</v>
      </c>
      <c r="C76" t="s">
        <v>147</v>
      </c>
      <c r="D76">
        <v>4</v>
      </c>
      <c r="E76">
        <v>3</v>
      </c>
      <c r="F76">
        <v>0</v>
      </c>
      <c r="I76">
        <f t="shared" ca="1" si="15"/>
        <v>3286</v>
      </c>
      <c r="J76">
        <f t="shared" ca="1" si="16"/>
        <v>3286</v>
      </c>
      <c r="K76">
        <f t="shared" si="17"/>
        <v>240600</v>
      </c>
      <c r="L76" cm="1">
        <f t="array" ref="L76">LEVEL_POSSIBLE($E76, $F76, $B76, $S$3:$W$16, $S$2:$W$2)</f>
        <v>3</v>
      </c>
      <c r="M76">
        <f t="shared" ca="1" si="18"/>
        <v>0</v>
      </c>
      <c r="N76" cm="1">
        <f t="array" ref="N76">CARDS_NEEDED($E76, $F76, $B76, $S$3:$W$16, $S$2:$W$2, $L76)</f>
        <v>2</v>
      </c>
      <c r="O76">
        <f t="shared" si="19"/>
        <v>50000</v>
      </c>
      <c r="P76">
        <f t="shared" si="20"/>
        <v>6</v>
      </c>
      <c r="AE76"/>
    </row>
    <row r="77" spans="1:31" x14ac:dyDescent="0.3">
      <c r="A77" t="s">
        <v>74</v>
      </c>
      <c r="B77" t="s">
        <v>7</v>
      </c>
      <c r="C77" t="s">
        <v>147</v>
      </c>
      <c r="D77">
        <v>4</v>
      </c>
      <c r="E77">
        <v>3</v>
      </c>
      <c r="F77">
        <v>0</v>
      </c>
      <c r="I77">
        <f t="shared" ca="1" si="15"/>
        <v>3286</v>
      </c>
      <c r="J77">
        <f t="shared" ca="1" si="16"/>
        <v>3286</v>
      </c>
      <c r="K77">
        <f t="shared" si="17"/>
        <v>240600</v>
      </c>
      <c r="L77" cm="1">
        <f t="array" ref="L77">LEVEL_POSSIBLE($E77, $F77, $B77, $S$3:$W$16, $S$2:$W$2)</f>
        <v>3</v>
      </c>
      <c r="M77">
        <f t="shared" ca="1" si="18"/>
        <v>0</v>
      </c>
      <c r="N77" cm="1">
        <f t="array" ref="N77">CARDS_NEEDED($E77, $F77, $B77, $S$3:$W$16, $S$2:$W$2, $L77)</f>
        <v>2</v>
      </c>
      <c r="O77">
        <f t="shared" si="19"/>
        <v>50000</v>
      </c>
      <c r="P77">
        <f t="shared" si="20"/>
        <v>6</v>
      </c>
      <c r="AE77"/>
    </row>
    <row r="78" spans="1:31" x14ac:dyDescent="0.3">
      <c r="A78" t="s">
        <v>89</v>
      </c>
      <c r="B78" t="s">
        <v>7</v>
      </c>
      <c r="C78" t="s">
        <v>147</v>
      </c>
      <c r="D78">
        <v>4</v>
      </c>
      <c r="E78">
        <v>3</v>
      </c>
      <c r="F78">
        <v>0</v>
      </c>
      <c r="I78">
        <f t="shared" ca="1" si="15"/>
        <v>3286</v>
      </c>
      <c r="J78">
        <f t="shared" ca="1" si="16"/>
        <v>3286</v>
      </c>
      <c r="K78">
        <f t="shared" si="17"/>
        <v>240600</v>
      </c>
      <c r="L78" cm="1">
        <f t="array" ref="L78">LEVEL_POSSIBLE($E78, $F78, $B78, $S$3:$W$16, $S$2:$W$2)</f>
        <v>3</v>
      </c>
      <c r="M78">
        <f t="shared" ca="1" si="18"/>
        <v>0</v>
      </c>
      <c r="N78" cm="1">
        <f t="array" ref="N78">CARDS_NEEDED($E78, $F78, $B78, $S$3:$W$16, $S$2:$W$2, $L78)</f>
        <v>2</v>
      </c>
      <c r="O78">
        <f t="shared" si="19"/>
        <v>50000</v>
      </c>
      <c r="P78">
        <f t="shared" si="20"/>
        <v>6</v>
      </c>
      <c r="AE78"/>
    </row>
    <row r="79" spans="1:31" x14ac:dyDescent="0.3">
      <c r="A79" t="s">
        <v>91</v>
      </c>
      <c r="B79" t="s">
        <v>7</v>
      </c>
      <c r="C79" t="s">
        <v>148</v>
      </c>
      <c r="D79">
        <v>4</v>
      </c>
      <c r="E79">
        <v>3</v>
      </c>
      <c r="F79">
        <v>0</v>
      </c>
      <c r="H79">
        <v>0</v>
      </c>
      <c r="I79">
        <f t="shared" ca="1" si="15"/>
        <v>3286</v>
      </c>
      <c r="J79">
        <f t="shared" ca="1" si="16"/>
        <v>3286</v>
      </c>
      <c r="K79">
        <f t="shared" si="17"/>
        <v>240600</v>
      </c>
      <c r="L79" cm="1">
        <f t="array" ref="L79">LEVEL_POSSIBLE($E79, $F79, $B79, $S$3:$W$16, $S$2:$W$2)</f>
        <v>3</v>
      </c>
      <c r="M79">
        <f t="shared" ca="1" si="18"/>
        <v>0</v>
      </c>
      <c r="N79" cm="1">
        <f t="array" ref="N79">CARDS_NEEDED($E79, $F79, $B79, $S$3:$W$16, $S$2:$W$2, $L79)</f>
        <v>2</v>
      </c>
      <c r="O79">
        <f t="shared" si="19"/>
        <v>50000</v>
      </c>
      <c r="P79">
        <f t="shared" si="20"/>
        <v>6</v>
      </c>
      <c r="AE79"/>
    </row>
    <row r="80" spans="1:31" x14ac:dyDescent="0.3">
      <c r="A80" t="s">
        <v>96</v>
      </c>
      <c r="B80" t="s">
        <v>7</v>
      </c>
      <c r="C80" t="s">
        <v>148</v>
      </c>
      <c r="D80">
        <v>4</v>
      </c>
      <c r="E80">
        <v>3</v>
      </c>
      <c r="F80">
        <v>0</v>
      </c>
      <c r="H80">
        <v>0</v>
      </c>
      <c r="I80">
        <f t="shared" ca="1" si="15"/>
        <v>3286</v>
      </c>
      <c r="J80">
        <f t="shared" ca="1" si="16"/>
        <v>3286</v>
      </c>
      <c r="K80">
        <f t="shared" si="17"/>
        <v>240600</v>
      </c>
      <c r="L80" cm="1">
        <f t="array" ref="L80">LEVEL_POSSIBLE($E80, $F80, $B80, $S$3:$W$16, $S$2:$W$2)</f>
        <v>3</v>
      </c>
      <c r="M80">
        <f t="shared" ca="1" si="18"/>
        <v>0</v>
      </c>
      <c r="N80" cm="1">
        <f t="array" ref="N80">CARDS_NEEDED($E80, $F80, $B80, $S$3:$W$16, $S$2:$W$2, $L80)</f>
        <v>2</v>
      </c>
      <c r="O80">
        <f t="shared" si="19"/>
        <v>50000</v>
      </c>
      <c r="P80">
        <f t="shared" si="20"/>
        <v>6</v>
      </c>
      <c r="AE80"/>
    </row>
    <row r="81" spans="1:31" x14ac:dyDescent="0.3">
      <c r="A81" t="s">
        <v>100</v>
      </c>
      <c r="B81" t="s">
        <v>7</v>
      </c>
      <c r="C81" t="s">
        <v>147</v>
      </c>
      <c r="D81">
        <v>4</v>
      </c>
      <c r="E81">
        <v>3</v>
      </c>
      <c r="F81">
        <v>0</v>
      </c>
      <c r="I81">
        <f t="shared" ca="1" si="15"/>
        <v>3286</v>
      </c>
      <c r="J81">
        <f t="shared" ca="1" si="16"/>
        <v>3286</v>
      </c>
      <c r="K81">
        <f t="shared" si="17"/>
        <v>240600</v>
      </c>
      <c r="L81" cm="1">
        <f t="array" ref="L81">LEVEL_POSSIBLE($E81, $F81, $B81, $S$3:$W$16, $S$2:$W$2)</f>
        <v>3</v>
      </c>
      <c r="M81">
        <f t="shared" ca="1" si="18"/>
        <v>0</v>
      </c>
      <c r="N81" cm="1">
        <f t="array" ref="N81">CARDS_NEEDED($E81, $F81, $B81, $S$3:$W$16, $S$2:$W$2, $L81)</f>
        <v>2</v>
      </c>
      <c r="O81">
        <f t="shared" si="19"/>
        <v>50000</v>
      </c>
      <c r="P81">
        <f t="shared" si="20"/>
        <v>6</v>
      </c>
      <c r="AE81"/>
    </row>
    <row r="82" spans="1:31" x14ac:dyDescent="0.3">
      <c r="A82" t="s">
        <v>106</v>
      </c>
      <c r="B82" t="s">
        <v>7</v>
      </c>
      <c r="C82" t="s">
        <v>147</v>
      </c>
      <c r="D82">
        <v>4</v>
      </c>
      <c r="E82">
        <v>3</v>
      </c>
      <c r="F82">
        <v>0</v>
      </c>
      <c r="I82">
        <f t="shared" ca="1" si="15"/>
        <v>3286</v>
      </c>
      <c r="J82">
        <f t="shared" ca="1" si="16"/>
        <v>3286</v>
      </c>
      <c r="K82">
        <f t="shared" si="17"/>
        <v>240600</v>
      </c>
      <c r="L82" cm="1">
        <f t="array" ref="L82">LEVEL_POSSIBLE($E82, $F82, $B82, $S$3:$W$16, $S$2:$W$2)</f>
        <v>3</v>
      </c>
      <c r="M82">
        <f t="shared" ca="1" si="18"/>
        <v>0</v>
      </c>
      <c r="N82" cm="1">
        <f t="array" ref="N82">CARDS_NEEDED($E82, $F82, $B82, $S$3:$W$16, $S$2:$W$2, $L82)</f>
        <v>2</v>
      </c>
      <c r="O82">
        <f t="shared" si="19"/>
        <v>50000</v>
      </c>
      <c r="P82">
        <f t="shared" si="20"/>
        <v>6</v>
      </c>
      <c r="AE82"/>
    </row>
    <row r="83" spans="1:31" x14ac:dyDescent="0.3">
      <c r="A83" t="s">
        <v>121</v>
      </c>
      <c r="B83" t="s">
        <v>7</v>
      </c>
      <c r="C83" t="s">
        <v>147</v>
      </c>
      <c r="D83">
        <v>4</v>
      </c>
      <c r="E83">
        <v>3</v>
      </c>
      <c r="F83">
        <v>0</v>
      </c>
      <c r="I83">
        <f t="shared" ca="1" si="15"/>
        <v>3286</v>
      </c>
      <c r="J83">
        <f t="shared" ca="1" si="16"/>
        <v>3286</v>
      </c>
      <c r="K83">
        <f t="shared" si="17"/>
        <v>240600</v>
      </c>
      <c r="L83" cm="1">
        <f t="array" ref="L83">LEVEL_POSSIBLE($E83, $F83, $B83, $S$3:$W$16, $S$2:$W$2)</f>
        <v>3</v>
      </c>
      <c r="M83">
        <f t="shared" ca="1" si="18"/>
        <v>0</v>
      </c>
      <c r="N83" cm="1">
        <f t="array" ref="N83">CARDS_NEEDED($E83, $F83, $B83, $S$3:$W$16, $S$2:$W$2, $L83)</f>
        <v>2</v>
      </c>
      <c r="O83">
        <f t="shared" si="19"/>
        <v>50000</v>
      </c>
      <c r="P83">
        <f t="shared" si="20"/>
        <v>6</v>
      </c>
      <c r="AE83"/>
    </row>
    <row r="84" spans="1:31" x14ac:dyDescent="0.3">
      <c r="A84" t="s">
        <v>122</v>
      </c>
      <c r="B84" t="s">
        <v>7</v>
      </c>
      <c r="C84" t="s">
        <v>148</v>
      </c>
      <c r="D84">
        <v>4</v>
      </c>
      <c r="E84">
        <v>3</v>
      </c>
      <c r="F84">
        <v>0</v>
      </c>
      <c r="H84">
        <v>0</v>
      </c>
      <c r="I84">
        <f t="shared" ca="1" si="15"/>
        <v>3286</v>
      </c>
      <c r="J84">
        <f t="shared" ca="1" si="16"/>
        <v>3286</v>
      </c>
      <c r="K84">
        <f t="shared" si="17"/>
        <v>240600</v>
      </c>
      <c r="L84" cm="1">
        <f t="array" ref="L84">LEVEL_POSSIBLE($E84, $F84, $B84, $S$3:$W$16, $S$2:$W$2)</f>
        <v>3</v>
      </c>
      <c r="M84">
        <f t="shared" ca="1" si="18"/>
        <v>0</v>
      </c>
      <c r="N84" cm="1">
        <f t="array" ref="N84">CARDS_NEEDED($E84, $F84, $B84, $S$3:$W$16, $S$2:$W$2, $L84)</f>
        <v>2</v>
      </c>
      <c r="O84">
        <f t="shared" si="19"/>
        <v>50000</v>
      </c>
      <c r="P84">
        <f t="shared" si="20"/>
        <v>6</v>
      </c>
      <c r="AE84"/>
    </row>
    <row r="85" spans="1:31" x14ac:dyDescent="0.3">
      <c r="A85" t="s">
        <v>13</v>
      </c>
      <c r="B85" t="s">
        <v>7</v>
      </c>
      <c r="C85" t="s">
        <v>147</v>
      </c>
      <c r="D85">
        <v>5</v>
      </c>
      <c r="E85">
        <v>3</v>
      </c>
      <c r="F85">
        <v>0</v>
      </c>
      <c r="I85">
        <f t="shared" ca="1" si="15"/>
        <v>3286</v>
      </c>
      <c r="J85">
        <f t="shared" ca="1" si="16"/>
        <v>3286</v>
      </c>
      <c r="K85">
        <f t="shared" si="17"/>
        <v>240600</v>
      </c>
      <c r="L85" cm="1">
        <f t="array" ref="L85">LEVEL_POSSIBLE($E85, $F85, $B85, $S$3:$W$16, $S$2:$W$2)</f>
        <v>3</v>
      </c>
      <c r="M85">
        <f t="shared" ca="1" si="18"/>
        <v>0</v>
      </c>
      <c r="N85" cm="1">
        <f t="array" ref="N85">CARDS_NEEDED($E85, $F85, $B85, $S$3:$W$16, $S$2:$W$2, $L85)</f>
        <v>2</v>
      </c>
      <c r="O85">
        <f t="shared" si="19"/>
        <v>50000</v>
      </c>
      <c r="P85">
        <f t="shared" si="20"/>
        <v>6</v>
      </c>
      <c r="AE85"/>
    </row>
    <row r="86" spans="1:31" x14ac:dyDescent="0.3">
      <c r="A86" t="s">
        <v>23</v>
      </c>
      <c r="B86" t="s">
        <v>7</v>
      </c>
      <c r="C86" t="s">
        <v>147</v>
      </c>
      <c r="D86">
        <v>5</v>
      </c>
      <c r="E86">
        <v>3</v>
      </c>
      <c r="F86">
        <v>0</v>
      </c>
      <c r="I86">
        <f t="shared" ca="1" si="15"/>
        <v>3286</v>
      </c>
      <c r="J86">
        <f t="shared" ca="1" si="16"/>
        <v>3286</v>
      </c>
      <c r="K86">
        <f t="shared" si="17"/>
        <v>240600</v>
      </c>
      <c r="L86" cm="1">
        <f t="array" ref="L86">LEVEL_POSSIBLE($E86, $F86, $B86, $S$3:$W$16, $S$2:$W$2)</f>
        <v>3</v>
      </c>
      <c r="M86">
        <f t="shared" ca="1" si="18"/>
        <v>0</v>
      </c>
      <c r="N86" cm="1">
        <f t="array" ref="N86">CARDS_NEEDED($E86, $F86, $B86, $S$3:$W$16, $S$2:$W$2, $L86)</f>
        <v>2</v>
      </c>
      <c r="O86">
        <f t="shared" si="19"/>
        <v>50000</v>
      </c>
      <c r="P86">
        <f t="shared" si="20"/>
        <v>6</v>
      </c>
      <c r="AE86"/>
    </row>
    <row r="87" spans="1:31" x14ac:dyDescent="0.3">
      <c r="A87" t="s">
        <v>52</v>
      </c>
      <c r="B87" t="s">
        <v>7</v>
      </c>
      <c r="C87" t="s">
        <v>148</v>
      </c>
      <c r="D87">
        <v>5</v>
      </c>
      <c r="E87">
        <v>3</v>
      </c>
      <c r="F87">
        <v>0</v>
      </c>
      <c r="H87">
        <v>0</v>
      </c>
      <c r="I87">
        <f t="shared" ca="1" si="15"/>
        <v>3286</v>
      </c>
      <c r="J87">
        <f t="shared" ca="1" si="16"/>
        <v>3286</v>
      </c>
      <c r="K87">
        <f t="shared" si="17"/>
        <v>240600</v>
      </c>
      <c r="L87" cm="1">
        <f t="array" ref="L87">LEVEL_POSSIBLE($E87, $F87, $B87, $S$3:$W$16, $S$2:$W$2)</f>
        <v>3</v>
      </c>
      <c r="M87">
        <f t="shared" ca="1" si="18"/>
        <v>0</v>
      </c>
      <c r="N87" cm="1">
        <f t="array" ref="N87">CARDS_NEEDED($E87, $F87, $B87, $S$3:$W$16, $S$2:$W$2, $L87)</f>
        <v>2</v>
      </c>
      <c r="O87">
        <f t="shared" si="19"/>
        <v>50000</v>
      </c>
      <c r="P87">
        <f t="shared" si="20"/>
        <v>6</v>
      </c>
      <c r="AE87"/>
    </row>
    <row r="88" spans="1:31" x14ac:dyDescent="0.3">
      <c r="A88" t="s">
        <v>53</v>
      </c>
      <c r="B88" t="s">
        <v>7</v>
      </c>
      <c r="C88" t="s">
        <v>147</v>
      </c>
      <c r="D88">
        <v>5</v>
      </c>
      <c r="E88">
        <v>3</v>
      </c>
      <c r="F88">
        <v>0</v>
      </c>
      <c r="I88">
        <f t="shared" ca="1" si="15"/>
        <v>3286</v>
      </c>
      <c r="J88">
        <f t="shared" ca="1" si="16"/>
        <v>3286</v>
      </c>
      <c r="K88">
        <f t="shared" si="17"/>
        <v>240600</v>
      </c>
      <c r="L88" cm="1">
        <f t="array" ref="L88">LEVEL_POSSIBLE($E88, $F88, $B88, $S$3:$W$16, $S$2:$W$2)</f>
        <v>3</v>
      </c>
      <c r="M88">
        <f t="shared" ca="1" si="18"/>
        <v>0</v>
      </c>
      <c r="N88" cm="1">
        <f t="array" ref="N88">CARDS_NEEDED($E88, $F88, $B88, $S$3:$W$16, $S$2:$W$2, $L88)</f>
        <v>2</v>
      </c>
      <c r="O88">
        <f t="shared" si="19"/>
        <v>50000</v>
      </c>
      <c r="P88">
        <f t="shared" si="20"/>
        <v>6</v>
      </c>
      <c r="AE88"/>
    </row>
    <row r="89" spans="1:31" x14ac:dyDescent="0.3">
      <c r="A89" t="s">
        <v>99</v>
      </c>
      <c r="B89" t="s">
        <v>7</v>
      </c>
      <c r="C89" t="s">
        <v>147</v>
      </c>
      <c r="D89">
        <v>5</v>
      </c>
      <c r="E89">
        <v>3</v>
      </c>
      <c r="F89">
        <v>0</v>
      </c>
      <c r="I89">
        <f t="shared" ca="1" si="15"/>
        <v>3286</v>
      </c>
      <c r="J89">
        <f t="shared" ca="1" si="16"/>
        <v>3286</v>
      </c>
      <c r="K89">
        <f t="shared" si="17"/>
        <v>240600</v>
      </c>
      <c r="L89" cm="1">
        <f t="array" ref="L89">LEVEL_POSSIBLE($E89, $F89, $B89, $S$3:$W$16, $S$2:$W$2)</f>
        <v>3</v>
      </c>
      <c r="M89">
        <f t="shared" ca="1" si="18"/>
        <v>0</v>
      </c>
      <c r="N89" cm="1">
        <f t="array" ref="N89">CARDS_NEEDED($E89, $F89, $B89, $S$3:$W$16, $S$2:$W$2, $L89)</f>
        <v>2</v>
      </c>
      <c r="O89">
        <f t="shared" si="19"/>
        <v>50000</v>
      </c>
      <c r="P89">
        <f t="shared" si="20"/>
        <v>6</v>
      </c>
      <c r="AE89"/>
    </row>
    <row r="90" spans="1:31" x14ac:dyDescent="0.3">
      <c r="A90" t="s">
        <v>17</v>
      </c>
      <c r="B90" t="s">
        <v>7</v>
      </c>
      <c r="C90" t="s">
        <v>147</v>
      </c>
      <c r="D90">
        <v>6</v>
      </c>
      <c r="E90">
        <v>3</v>
      </c>
      <c r="F90">
        <v>0</v>
      </c>
      <c r="I90">
        <f t="shared" ca="1" si="15"/>
        <v>3286</v>
      </c>
      <c r="J90">
        <f t="shared" ca="1" si="16"/>
        <v>3286</v>
      </c>
      <c r="K90">
        <f t="shared" si="17"/>
        <v>240600</v>
      </c>
      <c r="L90" cm="1">
        <f t="array" ref="L90">LEVEL_POSSIBLE($E90, $F90, $B90, $S$3:$W$16, $S$2:$W$2)</f>
        <v>3</v>
      </c>
      <c r="M90">
        <f t="shared" ca="1" si="18"/>
        <v>0</v>
      </c>
      <c r="N90" cm="1">
        <f t="array" ref="N90">CARDS_NEEDED($E90, $F90, $B90, $S$3:$W$16, $S$2:$W$2, $L90)</f>
        <v>2</v>
      </c>
      <c r="O90">
        <f t="shared" si="19"/>
        <v>50000</v>
      </c>
      <c r="P90">
        <f t="shared" si="20"/>
        <v>6</v>
      </c>
      <c r="AE90"/>
    </row>
    <row r="91" spans="1:31" x14ac:dyDescent="0.3">
      <c r="A91" t="s">
        <v>67</v>
      </c>
      <c r="B91" t="s">
        <v>7</v>
      </c>
      <c r="C91" t="s">
        <v>147</v>
      </c>
      <c r="D91">
        <v>6</v>
      </c>
      <c r="E91">
        <v>3</v>
      </c>
      <c r="F91">
        <v>0</v>
      </c>
      <c r="I91">
        <f t="shared" ca="1" si="15"/>
        <v>3286</v>
      </c>
      <c r="J91">
        <f t="shared" ca="1" si="16"/>
        <v>3286</v>
      </c>
      <c r="K91">
        <f t="shared" si="17"/>
        <v>240600</v>
      </c>
      <c r="L91" cm="1">
        <f t="array" ref="L91">LEVEL_POSSIBLE($E91, $F91, $B91, $S$3:$W$16, $S$2:$W$2)</f>
        <v>3</v>
      </c>
      <c r="M91">
        <f t="shared" ca="1" si="18"/>
        <v>0</v>
      </c>
      <c r="N91" cm="1">
        <f t="array" ref="N91">CARDS_NEEDED($E91, $F91, $B91, $S$3:$W$16, $S$2:$W$2, $L91)</f>
        <v>2</v>
      </c>
      <c r="O91">
        <f t="shared" si="19"/>
        <v>50000</v>
      </c>
      <c r="P91">
        <f t="shared" si="20"/>
        <v>6</v>
      </c>
      <c r="AE91"/>
    </row>
    <row r="92" spans="1:31" x14ac:dyDescent="0.3">
      <c r="A92" t="s">
        <v>68</v>
      </c>
      <c r="B92" t="s">
        <v>7</v>
      </c>
      <c r="C92" t="s">
        <v>147</v>
      </c>
      <c r="D92">
        <v>6</v>
      </c>
      <c r="E92">
        <v>3</v>
      </c>
      <c r="F92">
        <v>0</v>
      </c>
      <c r="I92">
        <f t="shared" ca="1" si="15"/>
        <v>3286</v>
      </c>
      <c r="J92">
        <f t="shared" ca="1" si="16"/>
        <v>3286</v>
      </c>
      <c r="K92">
        <f t="shared" si="17"/>
        <v>240600</v>
      </c>
      <c r="L92" cm="1">
        <f t="array" ref="L92">LEVEL_POSSIBLE($E92, $F92, $B92, $S$3:$W$16, $S$2:$W$2)</f>
        <v>3</v>
      </c>
      <c r="M92">
        <f t="shared" ca="1" si="18"/>
        <v>0</v>
      </c>
      <c r="N92" cm="1">
        <f t="array" ref="N92">CARDS_NEEDED($E92, $F92, $B92, $S$3:$W$16, $S$2:$W$2, $L92)</f>
        <v>2</v>
      </c>
      <c r="O92">
        <f t="shared" si="19"/>
        <v>50000</v>
      </c>
      <c r="P92">
        <f t="shared" si="20"/>
        <v>6</v>
      </c>
      <c r="AE92"/>
    </row>
    <row r="93" spans="1:31" x14ac:dyDescent="0.3">
      <c r="A93" t="s">
        <v>66</v>
      </c>
      <c r="B93" t="s">
        <v>7</v>
      </c>
      <c r="C93" t="s">
        <v>147</v>
      </c>
      <c r="D93">
        <v>9</v>
      </c>
      <c r="E93">
        <v>3</v>
      </c>
      <c r="F93">
        <v>0</v>
      </c>
      <c r="I93">
        <f t="shared" ca="1" si="15"/>
        <v>3286</v>
      </c>
      <c r="J93">
        <f t="shared" ca="1" si="16"/>
        <v>3286</v>
      </c>
      <c r="K93">
        <f t="shared" si="17"/>
        <v>240600</v>
      </c>
      <c r="L93" cm="1">
        <f t="array" ref="L93">LEVEL_POSSIBLE($E93, $F93, $B93, $S$3:$W$16, $S$2:$W$2)</f>
        <v>3</v>
      </c>
      <c r="M93">
        <f t="shared" ca="1" si="18"/>
        <v>0</v>
      </c>
      <c r="N93" cm="1">
        <f t="array" ref="N93">CARDS_NEEDED($E93, $F93, $B93, $S$3:$W$16, $S$2:$W$2, $L93)</f>
        <v>2</v>
      </c>
      <c r="O93">
        <f t="shared" si="19"/>
        <v>50000</v>
      </c>
      <c r="P93">
        <f t="shared" si="20"/>
        <v>6</v>
      </c>
      <c r="AE93"/>
    </row>
    <row r="94" spans="1:31" x14ac:dyDescent="0.3">
      <c r="A94" t="s">
        <v>98</v>
      </c>
      <c r="B94" t="s">
        <v>8</v>
      </c>
      <c r="C94" t="s">
        <v>148</v>
      </c>
      <c r="D94">
        <v>1</v>
      </c>
      <c r="E94">
        <v>1</v>
      </c>
      <c r="F94">
        <v>0</v>
      </c>
      <c r="H94">
        <v>0</v>
      </c>
      <c r="I94">
        <f t="shared" ca="1" si="15"/>
        <v>12086</v>
      </c>
      <c r="J94">
        <f t="shared" ca="1" si="16"/>
        <v>12086</v>
      </c>
      <c r="K94">
        <f t="shared" si="17"/>
        <v>240625</v>
      </c>
      <c r="L94" cm="1">
        <f t="array" ref="L94">LEVEL_POSSIBLE($E94, $F94, $B94, $S$3:$W$16, $S$2:$W$2)</f>
        <v>1</v>
      </c>
      <c r="M94">
        <f t="shared" ca="1" si="18"/>
        <v>0</v>
      </c>
      <c r="N94" cm="1">
        <f t="array" ref="N94">CARDS_NEEDED($E94, $F94, $B94, $S$3:$W$16, $S$2:$W$2, $L94)</f>
        <v>2</v>
      </c>
      <c r="O94">
        <f t="shared" si="19"/>
        <v>50000</v>
      </c>
      <c r="P94">
        <f t="shared" si="20"/>
        <v>6</v>
      </c>
      <c r="AE94"/>
    </row>
    <row r="95" spans="1:31" x14ac:dyDescent="0.3">
      <c r="A95" t="s">
        <v>111</v>
      </c>
      <c r="B95" t="s">
        <v>8</v>
      </c>
      <c r="C95" t="s">
        <v>148</v>
      </c>
      <c r="D95">
        <v>1</v>
      </c>
      <c r="E95">
        <v>1</v>
      </c>
      <c r="F95">
        <v>0</v>
      </c>
      <c r="H95">
        <v>0</v>
      </c>
      <c r="I95">
        <f t="shared" ca="1" si="15"/>
        <v>12086</v>
      </c>
      <c r="J95">
        <f t="shared" ca="1" si="16"/>
        <v>12086</v>
      </c>
      <c r="K95">
        <f t="shared" si="17"/>
        <v>240625</v>
      </c>
      <c r="L95" cm="1">
        <f t="array" ref="L95">LEVEL_POSSIBLE($E95, $F95, $B95, $S$3:$W$16, $S$2:$W$2)</f>
        <v>1</v>
      </c>
      <c r="M95">
        <f t="shared" ca="1" si="18"/>
        <v>0</v>
      </c>
      <c r="N95" cm="1">
        <f t="array" ref="N95">CARDS_NEEDED($E95, $F95, $B95, $S$3:$W$16, $S$2:$W$2, $L95)</f>
        <v>2</v>
      </c>
      <c r="O95">
        <f t="shared" si="19"/>
        <v>50000</v>
      </c>
      <c r="P95">
        <f t="shared" si="20"/>
        <v>6</v>
      </c>
      <c r="AE95"/>
    </row>
    <row r="96" spans="1:31" x14ac:dyDescent="0.3">
      <c r="A96" t="s">
        <v>112</v>
      </c>
      <c r="B96" t="s">
        <v>8</v>
      </c>
      <c r="C96" t="s">
        <v>147</v>
      </c>
      <c r="D96">
        <v>1</v>
      </c>
      <c r="E96">
        <v>1</v>
      </c>
      <c r="F96">
        <v>0</v>
      </c>
      <c r="I96">
        <f t="shared" ca="1" si="15"/>
        <v>12086</v>
      </c>
      <c r="J96">
        <f t="shared" ca="1" si="16"/>
        <v>12086</v>
      </c>
      <c r="K96">
        <f t="shared" si="17"/>
        <v>240625</v>
      </c>
      <c r="L96" cm="1">
        <f t="array" ref="L96">LEVEL_POSSIBLE($E96, $F96, $B96, $S$3:$W$16, $S$2:$W$2)</f>
        <v>1</v>
      </c>
      <c r="M96">
        <f t="shared" ca="1" si="18"/>
        <v>0</v>
      </c>
      <c r="N96" cm="1">
        <f t="array" ref="N96">CARDS_NEEDED($E96, $F96, $B96, $S$3:$W$16, $S$2:$W$2, $L96)</f>
        <v>2</v>
      </c>
      <c r="O96">
        <f t="shared" si="19"/>
        <v>50000</v>
      </c>
      <c r="P96">
        <f t="shared" si="20"/>
        <v>6</v>
      </c>
      <c r="AE96"/>
    </row>
    <row r="97" spans="1:31" x14ac:dyDescent="0.3">
      <c r="A97" t="s">
        <v>128</v>
      </c>
      <c r="B97" t="s">
        <v>8</v>
      </c>
      <c r="C97" t="s">
        <v>147</v>
      </c>
      <c r="D97">
        <v>1</v>
      </c>
      <c r="E97">
        <v>1</v>
      </c>
      <c r="F97">
        <v>0</v>
      </c>
      <c r="I97">
        <f t="shared" ca="1" si="15"/>
        <v>12086</v>
      </c>
      <c r="J97">
        <f t="shared" ca="1" si="16"/>
        <v>12086</v>
      </c>
      <c r="K97">
        <f t="shared" si="17"/>
        <v>240625</v>
      </c>
      <c r="L97" cm="1">
        <f t="array" ref="L97">LEVEL_POSSIBLE($E97, $F97, $B97, $S$3:$W$16, $S$2:$W$2)</f>
        <v>1</v>
      </c>
      <c r="M97">
        <f t="shared" ca="1" si="18"/>
        <v>0</v>
      </c>
      <c r="N97" cm="1">
        <f t="array" ref="N97">CARDS_NEEDED($E97, $F97, $B97, $S$3:$W$16, $S$2:$W$2, $L97)</f>
        <v>2</v>
      </c>
      <c r="O97">
        <f t="shared" si="19"/>
        <v>50000</v>
      </c>
      <c r="P97">
        <f t="shared" si="20"/>
        <v>6</v>
      </c>
      <c r="AE97"/>
    </row>
    <row r="98" spans="1:31" x14ac:dyDescent="0.3">
      <c r="A98" t="s">
        <v>4</v>
      </c>
      <c r="B98" t="s">
        <v>8</v>
      </c>
      <c r="C98" t="s">
        <v>148</v>
      </c>
      <c r="D98">
        <v>2</v>
      </c>
      <c r="E98">
        <v>1</v>
      </c>
      <c r="F98">
        <v>0</v>
      </c>
      <c r="H98">
        <v>0</v>
      </c>
      <c r="I98">
        <f t="shared" ref="I98:I123" ca="1" si="21">SUM(OFFSET($S$3:$S$17, $E98, MATCH($B98, $S$2:$W$2, 0) - 1, 16 - $E98, 1))</f>
        <v>12086</v>
      </c>
      <c r="J98">
        <f t="shared" ref="J98:J123" ca="1" si="22">$I98-$F98</f>
        <v>12086</v>
      </c>
      <c r="K98">
        <f t="shared" ref="K98:K123" si="23">SUMIFS($S$29:$S$41, $R$29:$R$41, "&gt;" &amp; $E98)</f>
        <v>240625</v>
      </c>
      <c r="L98" cm="1">
        <f t="array" ref="L98">LEVEL_POSSIBLE($E98, $F98, $B98, $S$3:$W$16, $S$2:$W$2)</f>
        <v>1</v>
      </c>
      <c r="M98">
        <f t="shared" ref="M98:M123" ca="1" si="24">IFERROR(SUM(OFFSET($S$28:$S$41,$E98,0,$L98 - $E98,1)),0)</f>
        <v>0</v>
      </c>
      <c r="N98" cm="1">
        <f t="array" ref="N98">CARDS_NEEDED($E98, $F98, $B98, $S$3:$W$16, $S$2:$W$2, $L98)</f>
        <v>2</v>
      </c>
      <c r="O98">
        <f t="shared" ref="O98:O123" si="25">IF(E98=15,0,50000-$G98)</f>
        <v>50000</v>
      </c>
      <c r="P98">
        <f t="shared" ref="P98:P123" si="26">6-H98</f>
        <v>6</v>
      </c>
      <c r="AE98"/>
    </row>
    <row r="99" spans="1:31" x14ac:dyDescent="0.3">
      <c r="A99" t="s">
        <v>15</v>
      </c>
      <c r="B99" t="s">
        <v>8</v>
      </c>
      <c r="C99" t="s">
        <v>147</v>
      </c>
      <c r="D99">
        <v>2</v>
      </c>
      <c r="E99">
        <v>1</v>
      </c>
      <c r="F99">
        <v>0</v>
      </c>
      <c r="I99">
        <f t="shared" ca="1" si="21"/>
        <v>12086</v>
      </c>
      <c r="J99">
        <f t="shared" ca="1" si="22"/>
        <v>12086</v>
      </c>
      <c r="K99">
        <f t="shared" si="23"/>
        <v>240625</v>
      </c>
      <c r="L99" cm="1">
        <f t="array" ref="L99">LEVEL_POSSIBLE($E99, $F99, $B99, $S$3:$W$16, $S$2:$W$2)</f>
        <v>1</v>
      </c>
      <c r="M99">
        <f t="shared" ca="1" si="24"/>
        <v>0</v>
      </c>
      <c r="N99" cm="1">
        <f t="array" ref="N99">CARDS_NEEDED($E99, $F99, $B99, $S$3:$W$16, $S$2:$W$2, $L99)</f>
        <v>2</v>
      </c>
      <c r="O99">
        <f t="shared" si="25"/>
        <v>50000</v>
      </c>
      <c r="P99">
        <f t="shared" si="26"/>
        <v>6</v>
      </c>
      <c r="AE99"/>
    </row>
    <row r="100" spans="1:31" x14ac:dyDescent="0.3">
      <c r="A100" t="s">
        <v>16</v>
      </c>
      <c r="B100" t="s">
        <v>8</v>
      </c>
      <c r="C100" t="s">
        <v>148</v>
      </c>
      <c r="D100">
        <v>2</v>
      </c>
      <c r="E100">
        <v>1</v>
      </c>
      <c r="F100">
        <v>0</v>
      </c>
      <c r="H100">
        <v>0</v>
      </c>
      <c r="I100">
        <f t="shared" ca="1" si="21"/>
        <v>12086</v>
      </c>
      <c r="J100">
        <f t="shared" ca="1" si="22"/>
        <v>12086</v>
      </c>
      <c r="K100">
        <f t="shared" si="23"/>
        <v>240625</v>
      </c>
      <c r="L100" cm="1">
        <f t="array" ref="L100">LEVEL_POSSIBLE($E100, $F100, $B100, $S$3:$W$16, $S$2:$W$2)</f>
        <v>1</v>
      </c>
      <c r="M100">
        <f t="shared" ca="1" si="24"/>
        <v>0</v>
      </c>
      <c r="N100" cm="1">
        <f t="array" ref="N100">CARDS_NEEDED($E100, $F100, $B100, $S$3:$W$16, $S$2:$W$2, $L100)</f>
        <v>2</v>
      </c>
      <c r="O100">
        <f t="shared" si="25"/>
        <v>50000</v>
      </c>
      <c r="P100">
        <f t="shared" si="26"/>
        <v>6</v>
      </c>
      <c r="AE100"/>
    </row>
    <row r="101" spans="1:31" x14ac:dyDescent="0.3">
      <c r="A101" t="s">
        <v>80</v>
      </c>
      <c r="B101" t="s">
        <v>8</v>
      </c>
      <c r="C101" t="s">
        <v>147</v>
      </c>
      <c r="D101">
        <v>2</v>
      </c>
      <c r="E101">
        <v>1</v>
      </c>
      <c r="F101">
        <v>0</v>
      </c>
      <c r="I101">
        <f t="shared" ca="1" si="21"/>
        <v>12086</v>
      </c>
      <c r="J101">
        <f t="shared" ca="1" si="22"/>
        <v>12086</v>
      </c>
      <c r="K101">
        <f t="shared" si="23"/>
        <v>240625</v>
      </c>
      <c r="L101" cm="1">
        <f t="array" ref="L101">LEVEL_POSSIBLE($E101, $F101, $B101, $S$3:$W$16, $S$2:$W$2)</f>
        <v>1</v>
      </c>
      <c r="M101">
        <f t="shared" ca="1" si="24"/>
        <v>0</v>
      </c>
      <c r="N101" cm="1">
        <f t="array" ref="N101">CARDS_NEEDED($E101, $F101, $B101, $S$3:$W$16, $S$2:$W$2, $L101)</f>
        <v>2</v>
      </c>
      <c r="O101">
        <f t="shared" si="25"/>
        <v>50000</v>
      </c>
      <c r="P101">
        <f t="shared" si="26"/>
        <v>6</v>
      </c>
      <c r="AE101"/>
    </row>
    <row r="102" spans="1:31" x14ac:dyDescent="0.3">
      <c r="A102" t="s">
        <v>110</v>
      </c>
      <c r="B102" t="s">
        <v>8</v>
      </c>
      <c r="C102" t="s">
        <v>148</v>
      </c>
      <c r="D102">
        <v>2</v>
      </c>
      <c r="E102">
        <v>1</v>
      </c>
      <c r="F102">
        <v>0</v>
      </c>
      <c r="H102">
        <v>0</v>
      </c>
      <c r="I102">
        <f t="shared" ca="1" si="21"/>
        <v>12086</v>
      </c>
      <c r="J102">
        <f t="shared" ca="1" si="22"/>
        <v>12086</v>
      </c>
      <c r="K102">
        <f t="shared" si="23"/>
        <v>240625</v>
      </c>
      <c r="L102" cm="1">
        <f t="array" ref="L102">LEVEL_POSSIBLE($E102, $F102, $B102, $S$3:$W$16, $S$2:$W$2)</f>
        <v>1</v>
      </c>
      <c r="M102">
        <f t="shared" ca="1" si="24"/>
        <v>0</v>
      </c>
      <c r="N102" cm="1">
        <f t="array" ref="N102">CARDS_NEEDED($E102, $F102, $B102, $S$3:$W$16, $S$2:$W$2, $L102)</f>
        <v>2</v>
      </c>
      <c r="O102">
        <f t="shared" si="25"/>
        <v>50000</v>
      </c>
      <c r="P102">
        <f t="shared" si="26"/>
        <v>6</v>
      </c>
      <c r="AE102"/>
    </row>
    <row r="103" spans="1:31" x14ac:dyDescent="0.3">
      <c r="A103" t="s">
        <v>127</v>
      </c>
      <c r="B103" t="s">
        <v>8</v>
      </c>
      <c r="C103" t="s">
        <v>147</v>
      </c>
      <c r="D103">
        <v>2</v>
      </c>
      <c r="E103">
        <v>1</v>
      </c>
      <c r="F103">
        <v>0</v>
      </c>
      <c r="I103">
        <f t="shared" ca="1" si="21"/>
        <v>12086</v>
      </c>
      <c r="J103">
        <f t="shared" ca="1" si="22"/>
        <v>12086</v>
      </c>
      <c r="K103">
        <f t="shared" si="23"/>
        <v>240625</v>
      </c>
      <c r="L103" cm="1">
        <f t="array" ref="L103">LEVEL_POSSIBLE($E103, $F103, $B103, $S$3:$W$16, $S$2:$W$2)</f>
        <v>1</v>
      </c>
      <c r="M103">
        <f t="shared" ca="1" si="24"/>
        <v>0</v>
      </c>
      <c r="N103" cm="1">
        <f t="array" ref="N103">CARDS_NEEDED($E103, $F103, $B103, $S$3:$W$16, $S$2:$W$2, $L103)</f>
        <v>2</v>
      </c>
      <c r="O103">
        <f t="shared" si="25"/>
        <v>50000</v>
      </c>
      <c r="P103">
        <f t="shared" si="26"/>
        <v>6</v>
      </c>
      <c r="AE103"/>
    </row>
    <row r="104" spans="1:31" x14ac:dyDescent="0.3">
      <c r="A104" t="s">
        <v>3</v>
      </c>
      <c r="B104" t="s">
        <v>8</v>
      </c>
      <c r="C104" t="s">
        <v>148</v>
      </c>
      <c r="D104">
        <v>3</v>
      </c>
      <c r="E104">
        <v>1</v>
      </c>
      <c r="F104">
        <v>0</v>
      </c>
      <c r="H104">
        <v>0</v>
      </c>
      <c r="I104">
        <f t="shared" ca="1" si="21"/>
        <v>12086</v>
      </c>
      <c r="J104">
        <f t="shared" ca="1" si="22"/>
        <v>12086</v>
      </c>
      <c r="K104">
        <f t="shared" si="23"/>
        <v>240625</v>
      </c>
      <c r="L104" cm="1">
        <f t="array" ref="L104">LEVEL_POSSIBLE($E104, $F104, $B104, $S$3:$W$16, $S$2:$W$2)</f>
        <v>1</v>
      </c>
      <c r="M104">
        <f t="shared" ca="1" si="24"/>
        <v>0</v>
      </c>
      <c r="N104" cm="1">
        <f t="array" ref="N104">CARDS_NEEDED($E104, $F104, $B104, $S$3:$W$16, $S$2:$W$2, $L104)</f>
        <v>2</v>
      </c>
      <c r="O104">
        <f t="shared" si="25"/>
        <v>50000</v>
      </c>
      <c r="P104">
        <f t="shared" si="26"/>
        <v>6</v>
      </c>
      <c r="AE104"/>
    </row>
    <row r="105" spans="1:31" x14ac:dyDescent="0.3">
      <c r="A105" t="s">
        <v>14</v>
      </c>
      <c r="B105" t="s">
        <v>8</v>
      </c>
      <c r="C105" t="s">
        <v>147</v>
      </c>
      <c r="D105">
        <v>3</v>
      </c>
      <c r="E105">
        <v>1</v>
      </c>
      <c r="F105">
        <v>0</v>
      </c>
      <c r="I105">
        <f t="shared" ca="1" si="21"/>
        <v>12086</v>
      </c>
      <c r="J105">
        <f t="shared" ca="1" si="22"/>
        <v>12086</v>
      </c>
      <c r="K105">
        <f t="shared" si="23"/>
        <v>240625</v>
      </c>
      <c r="L105" cm="1">
        <f t="array" ref="L105">LEVEL_POSSIBLE($E105, $F105, $B105, $S$3:$W$16, $S$2:$W$2)</f>
        <v>1</v>
      </c>
      <c r="M105">
        <f t="shared" ca="1" si="24"/>
        <v>0</v>
      </c>
      <c r="N105" cm="1">
        <f t="array" ref="N105">CARDS_NEEDED($E105, $F105, $B105, $S$3:$W$16, $S$2:$W$2, $L105)</f>
        <v>2</v>
      </c>
      <c r="O105">
        <f t="shared" si="25"/>
        <v>50000</v>
      </c>
      <c r="P105">
        <f t="shared" si="26"/>
        <v>6</v>
      </c>
      <c r="AE105"/>
    </row>
    <row r="106" spans="1:31" x14ac:dyDescent="0.3">
      <c r="A106" t="s">
        <v>12</v>
      </c>
      <c r="B106" t="s">
        <v>8</v>
      </c>
      <c r="C106" t="s">
        <v>148</v>
      </c>
      <c r="D106">
        <v>3</v>
      </c>
      <c r="E106">
        <v>1</v>
      </c>
      <c r="F106">
        <v>0</v>
      </c>
      <c r="H106">
        <v>0</v>
      </c>
      <c r="I106">
        <f t="shared" ca="1" si="21"/>
        <v>12086</v>
      </c>
      <c r="J106">
        <f t="shared" ca="1" si="22"/>
        <v>12086</v>
      </c>
      <c r="K106">
        <f t="shared" si="23"/>
        <v>240625</v>
      </c>
      <c r="L106" cm="1">
        <f t="array" ref="L106">LEVEL_POSSIBLE($E106, $F106, $B106, $S$3:$W$16, $S$2:$W$2)</f>
        <v>1</v>
      </c>
      <c r="M106">
        <f t="shared" ca="1" si="24"/>
        <v>0</v>
      </c>
      <c r="N106" cm="1">
        <f t="array" ref="N106">CARDS_NEEDED($E106, $F106, $B106, $S$3:$W$16, $S$2:$W$2, $L106)</f>
        <v>2</v>
      </c>
      <c r="O106">
        <f t="shared" si="25"/>
        <v>50000</v>
      </c>
      <c r="P106">
        <f t="shared" si="26"/>
        <v>6</v>
      </c>
      <c r="AE106"/>
    </row>
    <row r="107" spans="1:31" x14ac:dyDescent="0.3">
      <c r="A107" t="s">
        <v>90</v>
      </c>
      <c r="B107" t="s">
        <v>8</v>
      </c>
      <c r="C107" t="s">
        <v>148</v>
      </c>
      <c r="D107">
        <v>3</v>
      </c>
      <c r="E107">
        <v>1</v>
      </c>
      <c r="F107">
        <v>0</v>
      </c>
      <c r="H107">
        <v>0</v>
      </c>
      <c r="I107">
        <f t="shared" ca="1" si="21"/>
        <v>12086</v>
      </c>
      <c r="J107">
        <f t="shared" ca="1" si="22"/>
        <v>12086</v>
      </c>
      <c r="K107">
        <f t="shared" si="23"/>
        <v>240625</v>
      </c>
      <c r="L107" cm="1">
        <f t="array" ref="L107">LEVEL_POSSIBLE($E107, $F107, $B107, $S$3:$W$16, $S$2:$W$2)</f>
        <v>1</v>
      </c>
      <c r="M107">
        <f t="shared" ca="1" si="24"/>
        <v>0</v>
      </c>
      <c r="N107" cm="1">
        <f t="array" ref="N107">CARDS_NEEDED($E107, $F107, $B107, $S$3:$W$16, $S$2:$W$2, $L107)</f>
        <v>2</v>
      </c>
      <c r="O107">
        <f t="shared" si="25"/>
        <v>50000</v>
      </c>
      <c r="P107">
        <f t="shared" si="26"/>
        <v>6</v>
      </c>
      <c r="AE107"/>
    </row>
    <row r="108" spans="1:31" x14ac:dyDescent="0.3">
      <c r="A108" t="s">
        <v>97</v>
      </c>
      <c r="B108" t="s">
        <v>8</v>
      </c>
      <c r="C108" t="s">
        <v>147</v>
      </c>
      <c r="D108">
        <v>3</v>
      </c>
      <c r="E108">
        <v>1</v>
      </c>
      <c r="F108">
        <v>0</v>
      </c>
      <c r="I108">
        <f t="shared" ca="1" si="21"/>
        <v>12086</v>
      </c>
      <c r="J108">
        <f t="shared" ca="1" si="22"/>
        <v>12086</v>
      </c>
      <c r="K108">
        <f t="shared" si="23"/>
        <v>240625</v>
      </c>
      <c r="L108" cm="1">
        <f t="array" ref="L108">LEVEL_POSSIBLE($E108, $F108, $B108, $S$3:$W$16, $S$2:$W$2)</f>
        <v>1</v>
      </c>
      <c r="M108">
        <f t="shared" ca="1" si="24"/>
        <v>0</v>
      </c>
      <c r="N108" cm="1">
        <f t="array" ref="N108">CARDS_NEEDED($E108, $F108, $B108, $S$3:$W$16, $S$2:$W$2, $L108)</f>
        <v>2</v>
      </c>
      <c r="O108">
        <f t="shared" si="25"/>
        <v>50000</v>
      </c>
      <c r="P108">
        <f t="shared" si="26"/>
        <v>6</v>
      </c>
      <c r="AE108"/>
    </row>
    <row r="109" spans="1:31" x14ac:dyDescent="0.3">
      <c r="A109" t="s">
        <v>108</v>
      </c>
      <c r="B109" t="s">
        <v>8</v>
      </c>
      <c r="C109" t="s">
        <v>147</v>
      </c>
      <c r="D109">
        <v>3</v>
      </c>
      <c r="E109">
        <v>1</v>
      </c>
      <c r="F109">
        <v>0</v>
      </c>
      <c r="I109">
        <f t="shared" ca="1" si="21"/>
        <v>12086</v>
      </c>
      <c r="J109">
        <f t="shared" ca="1" si="22"/>
        <v>12086</v>
      </c>
      <c r="K109">
        <f t="shared" si="23"/>
        <v>240625</v>
      </c>
      <c r="L109" cm="1">
        <f t="array" ref="L109">LEVEL_POSSIBLE($E109, $F109, $B109, $S$3:$W$16, $S$2:$W$2)</f>
        <v>1</v>
      </c>
      <c r="M109">
        <f t="shared" ca="1" si="24"/>
        <v>0</v>
      </c>
      <c r="N109" cm="1">
        <f t="array" ref="N109">CARDS_NEEDED($E109, $F109, $B109, $S$3:$W$16, $S$2:$W$2, $L109)</f>
        <v>2</v>
      </c>
      <c r="O109">
        <f t="shared" si="25"/>
        <v>50000</v>
      </c>
      <c r="P109">
        <f t="shared" si="26"/>
        <v>6</v>
      </c>
      <c r="AE109"/>
    </row>
    <row r="110" spans="1:31" x14ac:dyDescent="0.3">
      <c r="A110" t="s">
        <v>109</v>
      </c>
      <c r="B110" t="s">
        <v>8</v>
      </c>
      <c r="C110" t="s">
        <v>148</v>
      </c>
      <c r="D110">
        <v>3</v>
      </c>
      <c r="E110">
        <v>1</v>
      </c>
      <c r="F110">
        <v>0</v>
      </c>
      <c r="H110">
        <v>0</v>
      </c>
      <c r="I110">
        <f t="shared" ca="1" si="21"/>
        <v>12086</v>
      </c>
      <c r="J110">
        <f t="shared" ca="1" si="22"/>
        <v>12086</v>
      </c>
      <c r="K110">
        <f t="shared" si="23"/>
        <v>240625</v>
      </c>
      <c r="L110" cm="1">
        <f t="array" ref="L110">LEVEL_POSSIBLE($E110, $F110, $B110, $S$3:$W$16, $S$2:$W$2)</f>
        <v>1</v>
      </c>
      <c r="M110">
        <f t="shared" ca="1" si="24"/>
        <v>0</v>
      </c>
      <c r="N110" cm="1">
        <f t="array" ref="N110">CARDS_NEEDED($E110, $F110, $B110, $S$3:$W$16, $S$2:$W$2, $L110)</f>
        <v>2</v>
      </c>
      <c r="O110">
        <f t="shared" si="25"/>
        <v>50000</v>
      </c>
      <c r="P110">
        <f t="shared" si="26"/>
        <v>6</v>
      </c>
      <c r="AE110"/>
    </row>
    <row r="111" spans="1:31" x14ac:dyDescent="0.3">
      <c r="A111" t="s">
        <v>125</v>
      </c>
      <c r="B111" t="s">
        <v>8</v>
      </c>
      <c r="C111" t="s">
        <v>147</v>
      </c>
      <c r="D111">
        <v>3</v>
      </c>
      <c r="E111">
        <v>1</v>
      </c>
      <c r="F111">
        <v>0</v>
      </c>
      <c r="I111">
        <f t="shared" ca="1" si="21"/>
        <v>12086</v>
      </c>
      <c r="J111">
        <f t="shared" ca="1" si="22"/>
        <v>12086</v>
      </c>
      <c r="K111">
        <f t="shared" si="23"/>
        <v>240625</v>
      </c>
      <c r="L111" cm="1">
        <f t="array" ref="L111">LEVEL_POSSIBLE($E111, $F111, $B111, $S$3:$W$16, $S$2:$W$2)</f>
        <v>1</v>
      </c>
      <c r="M111">
        <f t="shared" ca="1" si="24"/>
        <v>0</v>
      </c>
      <c r="N111" cm="1">
        <f t="array" ref="N111">CARDS_NEEDED($E111, $F111, $B111, $S$3:$W$16, $S$2:$W$2, $L111)</f>
        <v>2</v>
      </c>
      <c r="O111">
        <f t="shared" si="25"/>
        <v>50000</v>
      </c>
      <c r="P111">
        <f t="shared" si="26"/>
        <v>6</v>
      </c>
      <c r="AE111"/>
    </row>
    <row r="112" spans="1:31" x14ac:dyDescent="0.3">
      <c r="A112" t="s">
        <v>126</v>
      </c>
      <c r="B112" t="s">
        <v>8</v>
      </c>
      <c r="C112" t="s">
        <v>147</v>
      </c>
      <c r="D112">
        <v>3</v>
      </c>
      <c r="E112">
        <v>1</v>
      </c>
      <c r="F112">
        <v>0</v>
      </c>
      <c r="I112">
        <f t="shared" ca="1" si="21"/>
        <v>12086</v>
      </c>
      <c r="J112">
        <f t="shared" ca="1" si="22"/>
        <v>12086</v>
      </c>
      <c r="K112">
        <f t="shared" si="23"/>
        <v>240625</v>
      </c>
      <c r="L112" cm="1">
        <f t="array" ref="L112">LEVEL_POSSIBLE($E112, $F112, $B112, $S$3:$W$16, $S$2:$W$2)</f>
        <v>1</v>
      </c>
      <c r="M112">
        <f t="shared" ca="1" si="24"/>
        <v>0</v>
      </c>
      <c r="N112" cm="1">
        <f t="array" ref="N112">CARDS_NEEDED($E112, $F112, $B112, $S$3:$W$16, $S$2:$W$2, $L112)</f>
        <v>2</v>
      </c>
      <c r="O112">
        <f t="shared" si="25"/>
        <v>50000</v>
      </c>
      <c r="P112">
        <f t="shared" si="26"/>
        <v>6</v>
      </c>
      <c r="AE112"/>
    </row>
    <row r="113" spans="1:31" x14ac:dyDescent="0.3">
      <c r="A113" t="s">
        <v>49</v>
      </c>
      <c r="B113" t="s">
        <v>8</v>
      </c>
      <c r="C113" t="s">
        <v>147</v>
      </c>
      <c r="D113">
        <v>4</v>
      </c>
      <c r="E113">
        <v>1</v>
      </c>
      <c r="F113">
        <v>0</v>
      </c>
      <c r="I113">
        <f t="shared" ca="1" si="21"/>
        <v>12086</v>
      </c>
      <c r="J113">
        <f t="shared" ca="1" si="22"/>
        <v>12086</v>
      </c>
      <c r="K113">
        <f t="shared" si="23"/>
        <v>240625</v>
      </c>
      <c r="L113" cm="1">
        <f t="array" ref="L113">LEVEL_POSSIBLE($E113, $F113, $B113, $S$3:$W$16, $S$2:$W$2)</f>
        <v>1</v>
      </c>
      <c r="M113">
        <f t="shared" ca="1" si="24"/>
        <v>0</v>
      </c>
      <c r="N113" cm="1">
        <f t="array" ref="N113">CARDS_NEEDED($E113, $F113, $B113, $S$3:$W$16, $S$2:$W$2, $L113)</f>
        <v>2</v>
      </c>
      <c r="O113">
        <f t="shared" si="25"/>
        <v>50000</v>
      </c>
      <c r="P113">
        <f t="shared" si="26"/>
        <v>6</v>
      </c>
      <c r="AE113"/>
    </row>
    <row r="114" spans="1:31" x14ac:dyDescent="0.3">
      <c r="A114" t="s">
        <v>65</v>
      </c>
      <c r="B114" t="s">
        <v>8</v>
      </c>
      <c r="C114" t="s">
        <v>148</v>
      </c>
      <c r="D114">
        <v>4</v>
      </c>
      <c r="E114">
        <v>1</v>
      </c>
      <c r="F114">
        <v>0</v>
      </c>
      <c r="H114">
        <v>0</v>
      </c>
      <c r="I114">
        <f t="shared" ca="1" si="21"/>
        <v>12086</v>
      </c>
      <c r="J114">
        <f t="shared" ca="1" si="22"/>
        <v>12086</v>
      </c>
      <c r="K114">
        <f t="shared" si="23"/>
        <v>240625</v>
      </c>
      <c r="L114" cm="1">
        <f t="array" ref="L114">LEVEL_POSSIBLE($E114, $F114, $B114, $S$3:$W$16, $S$2:$W$2)</f>
        <v>1</v>
      </c>
      <c r="M114">
        <f t="shared" ca="1" si="24"/>
        <v>0</v>
      </c>
      <c r="N114" cm="1">
        <f t="array" ref="N114">CARDS_NEEDED($E114, $F114, $B114, $S$3:$W$16, $S$2:$W$2, $L114)</f>
        <v>2</v>
      </c>
      <c r="O114">
        <f t="shared" si="25"/>
        <v>50000</v>
      </c>
      <c r="P114">
        <f t="shared" si="26"/>
        <v>6</v>
      </c>
      <c r="AE114"/>
    </row>
    <row r="115" spans="1:31" x14ac:dyDescent="0.3">
      <c r="A115" t="s">
        <v>102</v>
      </c>
      <c r="B115" t="s">
        <v>8</v>
      </c>
      <c r="C115" t="s">
        <v>148</v>
      </c>
      <c r="D115">
        <v>4</v>
      </c>
      <c r="E115">
        <v>1</v>
      </c>
      <c r="F115">
        <v>0</v>
      </c>
      <c r="H115">
        <v>0</v>
      </c>
      <c r="I115">
        <f t="shared" ca="1" si="21"/>
        <v>12086</v>
      </c>
      <c r="J115">
        <f t="shared" ca="1" si="22"/>
        <v>12086</v>
      </c>
      <c r="K115">
        <f t="shared" si="23"/>
        <v>240625</v>
      </c>
      <c r="L115" cm="1">
        <f t="array" ref="L115">LEVEL_POSSIBLE($E115, $F115, $B115, $S$3:$W$16, $S$2:$W$2)</f>
        <v>1</v>
      </c>
      <c r="M115">
        <f t="shared" ca="1" si="24"/>
        <v>0</v>
      </c>
      <c r="N115" cm="1">
        <f t="array" ref="N115">CARDS_NEEDED($E115, $F115, $B115, $S$3:$W$16, $S$2:$W$2, $L115)</f>
        <v>2</v>
      </c>
      <c r="O115">
        <f t="shared" si="25"/>
        <v>50000</v>
      </c>
      <c r="P115">
        <f t="shared" si="26"/>
        <v>6</v>
      </c>
      <c r="AE115"/>
    </row>
    <row r="116" spans="1:31" x14ac:dyDescent="0.3">
      <c r="A116" t="s">
        <v>38</v>
      </c>
      <c r="B116" t="s">
        <v>8</v>
      </c>
      <c r="C116" t="s">
        <v>147</v>
      </c>
      <c r="D116">
        <v>5</v>
      </c>
      <c r="E116">
        <v>1</v>
      </c>
      <c r="F116">
        <v>0</v>
      </c>
      <c r="I116">
        <f t="shared" ca="1" si="21"/>
        <v>12086</v>
      </c>
      <c r="J116">
        <f t="shared" ca="1" si="22"/>
        <v>12086</v>
      </c>
      <c r="K116">
        <f t="shared" si="23"/>
        <v>240625</v>
      </c>
      <c r="L116" cm="1">
        <f t="array" ref="L116">LEVEL_POSSIBLE($E116, $F116, $B116, $S$3:$W$16, $S$2:$W$2)</f>
        <v>1</v>
      </c>
      <c r="M116">
        <f t="shared" ca="1" si="24"/>
        <v>0</v>
      </c>
      <c r="N116" cm="1">
        <f t="array" ref="N116">CARDS_NEEDED($E116, $F116, $B116, $S$3:$W$16, $S$2:$W$2, $L116)</f>
        <v>2</v>
      </c>
      <c r="O116">
        <f t="shared" si="25"/>
        <v>50000</v>
      </c>
      <c r="P116">
        <f t="shared" si="26"/>
        <v>6</v>
      </c>
      <c r="AE116"/>
    </row>
    <row r="117" spans="1:31" x14ac:dyDescent="0.3">
      <c r="A117" t="s">
        <v>47</v>
      </c>
      <c r="B117" t="s">
        <v>8</v>
      </c>
      <c r="C117" t="s">
        <v>148</v>
      </c>
      <c r="D117">
        <v>5</v>
      </c>
      <c r="E117">
        <v>1</v>
      </c>
      <c r="F117">
        <v>0</v>
      </c>
      <c r="H117">
        <v>0</v>
      </c>
      <c r="I117">
        <f t="shared" ca="1" si="21"/>
        <v>12086</v>
      </c>
      <c r="J117">
        <f t="shared" ca="1" si="22"/>
        <v>12086</v>
      </c>
      <c r="K117">
        <f t="shared" si="23"/>
        <v>240625</v>
      </c>
      <c r="L117" cm="1">
        <f t="array" ref="L117">LEVEL_POSSIBLE($E117, $F117, $B117, $S$3:$W$16, $S$2:$W$2)</f>
        <v>1</v>
      </c>
      <c r="M117">
        <f t="shared" ca="1" si="24"/>
        <v>0</v>
      </c>
      <c r="N117" cm="1">
        <f t="array" ref="N117">CARDS_NEEDED($E117, $F117, $B117, $S$3:$W$16, $S$2:$W$2, $L117)</f>
        <v>2</v>
      </c>
      <c r="O117">
        <f t="shared" si="25"/>
        <v>50000</v>
      </c>
      <c r="P117">
        <f t="shared" si="26"/>
        <v>6</v>
      </c>
      <c r="AE117"/>
    </row>
    <row r="118" spans="1:31" x14ac:dyDescent="0.3">
      <c r="A118" t="s">
        <v>107</v>
      </c>
      <c r="B118" t="s">
        <v>8</v>
      </c>
      <c r="C118" t="s">
        <v>147</v>
      </c>
      <c r="D118">
        <v>5</v>
      </c>
      <c r="E118">
        <v>1</v>
      </c>
      <c r="F118">
        <v>0</v>
      </c>
      <c r="I118">
        <f t="shared" ca="1" si="21"/>
        <v>12086</v>
      </c>
      <c r="J118">
        <f t="shared" ca="1" si="22"/>
        <v>12086</v>
      </c>
      <c r="K118">
        <f t="shared" si="23"/>
        <v>240625</v>
      </c>
      <c r="L118" cm="1">
        <f t="array" ref="L118">LEVEL_POSSIBLE($E118, $F118, $B118, $S$3:$W$16, $S$2:$W$2)</f>
        <v>1</v>
      </c>
      <c r="M118">
        <f t="shared" ca="1" si="24"/>
        <v>0</v>
      </c>
      <c r="N118" cm="1">
        <f t="array" ref="N118">CARDS_NEEDED($E118, $F118, $B118, $S$3:$W$16, $S$2:$W$2, $L118)</f>
        <v>2</v>
      </c>
      <c r="O118">
        <f t="shared" si="25"/>
        <v>50000</v>
      </c>
      <c r="P118">
        <f t="shared" si="26"/>
        <v>6</v>
      </c>
      <c r="AE118"/>
    </row>
    <row r="119" spans="1:31" x14ac:dyDescent="0.3">
      <c r="A119" t="s">
        <v>48</v>
      </c>
      <c r="B119" t="s">
        <v>8</v>
      </c>
      <c r="C119" t="s">
        <v>147</v>
      </c>
      <c r="D119">
        <v>6</v>
      </c>
      <c r="E119">
        <v>1</v>
      </c>
      <c r="F119">
        <v>0</v>
      </c>
      <c r="I119">
        <f t="shared" ca="1" si="21"/>
        <v>12086</v>
      </c>
      <c r="J119">
        <f t="shared" ca="1" si="22"/>
        <v>12086</v>
      </c>
      <c r="K119">
        <f t="shared" si="23"/>
        <v>240625</v>
      </c>
      <c r="L119" cm="1">
        <f t="array" ref="L119">LEVEL_POSSIBLE($E119, $F119, $B119, $S$3:$W$16, $S$2:$W$2)</f>
        <v>1</v>
      </c>
      <c r="M119">
        <f t="shared" ca="1" si="24"/>
        <v>0</v>
      </c>
      <c r="N119" cm="1">
        <f t="array" ref="N119">CARDS_NEEDED($E119, $F119, $B119, $S$3:$W$16, $S$2:$W$2, $L119)</f>
        <v>2</v>
      </c>
      <c r="O119">
        <f t="shared" si="25"/>
        <v>50000</v>
      </c>
      <c r="P119">
        <f t="shared" si="26"/>
        <v>6</v>
      </c>
      <c r="AE119"/>
    </row>
    <row r="120" spans="1:31" x14ac:dyDescent="0.3">
      <c r="A120" t="s">
        <v>64</v>
      </c>
      <c r="B120" t="s">
        <v>8</v>
      </c>
      <c r="C120" t="s">
        <v>148</v>
      </c>
      <c r="D120">
        <v>6</v>
      </c>
      <c r="E120">
        <v>1</v>
      </c>
      <c r="F120">
        <v>0</v>
      </c>
      <c r="H120">
        <v>0</v>
      </c>
      <c r="I120">
        <f t="shared" ca="1" si="21"/>
        <v>12086</v>
      </c>
      <c r="J120">
        <f t="shared" ca="1" si="22"/>
        <v>12086</v>
      </c>
      <c r="K120">
        <f t="shared" si="23"/>
        <v>240625</v>
      </c>
      <c r="L120" cm="1">
        <f t="array" ref="L120">LEVEL_POSSIBLE($E120, $F120, $B120, $S$3:$W$16, $S$2:$W$2)</f>
        <v>1</v>
      </c>
      <c r="M120">
        <f t="shared" ca="1" si="24"/>
        <v>0</v>
      </c>
      <c r="N120" cm="1">
        <f t="array" ref="N120">CARDS_NEEDED($E120, $F120, $B120, $S$3:$W$16, $S$2:$W$2, $L120)</f>
        <v>2</v>
      </c>
      <c r="O120">
        <f t="shared" si="25"/>
        <v>50000</v>
      </c>
      <c r="P120">
        <f t="shared" si="26"/>
        <v>6</v>
      </c>
      <c r="AE120"/>
    </row>
    <row r="121" spans="1:31" x14ac:dyDescent="0.3">
      <c r="A121" t="s">
        <v>101</v>
      </c>
      <c r="B121" t="s">
        <v>8</v>
      </c>
      <c r="C121" t="s">
        <v>148</v>
      </c>
      <c r="D121">
        <v>7</v>
      </c>
      <c r="E121">
        <v>1</v>
      </c>
      <c r="F121">
        <v>0</v>
      </c>
      <c r="H121">
        <v>0</v>
      </c>
      <c r="I121">
        <f t="shared" ca="1" si="21"/>
        <v>12086</v>
      </c>
      <c r="J121">
        <f t="shared" ca="1" si="22"/>
        <v>12086</v>
      </c>
      <c r="K121">
        <f t="shared" si="23"/>
        <v>240625</v>
      </c>
      <c r="L121" cm="1">
        <f t="array" ref="L121">LEVEL_POSSIBLE($E121, $F121, $B121, $S$3:$W$16, $S$2:$W$2)</f>
        <v>1</v>
      </c>
      <c r="M121">
        <f t="shared" ca="1" si="24"/>
        <v>0</v>
      </c>
      <c r="N121" cm="1">
        <f t="array" ref="N121">CARDS_NEEDED($E121, $F121, $B121, $S$3:$W$16, $S$2:$W$2, $L121)</f>
        <v>2</v>
      </c>
      <c r="O121">
        <f t="shared" si="25"/>
        <v>50000</v>
      </c>
      <c r="P121">
        <f t="shared" si="26"/>
        <v>6</v>
      </c>
      <c r="AE121"/>
    </row>
    <row r="122" spans="1:31" x14ac:dyDescent="0.3">
      <c r="A122" t="s">
        <v>165</v>
      </c>
      <c r="B122" t="s">
        <v>8</v>
      </c>
      <c r="C122" t="s">
        <v>147</v>
      </c>
      <c r="D122">
        <v>2</v>
      </c>
      <c r="E122">
        <v>1</v>
      </c>
      <c r="F122">
        <v>0</v>
      </c>
      <c r="I122">
        <f ca="1">SUM(OFFSET($S$3:$S$17, $E122, MATCH($B122, $S$2:$W$2, 0) - 1, 16 - $E122, 1))</f>
        <v>12086</v>
      </c>
      <c r="J122">
        <f ca="1">$I122-$F122</f>
        <v>12086</v>
      </c>
      <c r="K122">
        <f>SUMIFS($S$29:$S$41, $R$29:$R$41, "&gt;" &amp; $E122)</f>
        <v>240625</v>
      </c>
      <c r="L122" cm="1">
        <f t="array" ref="L122">LEVEL_POSSIBLE($E122, $F122, $B122, $S$3:$W$16, $S$2:$W$2)</f>
        <v>1</v>
      </c>
      <c r="M122">
        <f ca="1">IFERROR(SUM(OFFSET($S$28:$S$41,$E122,0,$L122 - $E122,1)),0)</f>
        <v>0</v>
      </c>
      <c r="N122" cm="1">
        <f t="array" ref="N122">CARDS_NEEDED($E122, $F122, $B122, $S$3:$W$16, $S$2:$W$2, $L122)</f>
        <v>2</v>
      </c>
      <c r="O122">
        <f>IF(E122=15,0,50000-$G122)</f>
        <v>50000</v>
      </c>
      <c r="P122">
        <f>6-H122</f>
        <v>6</v>
      </c>
      <c r="AE122"/>
    </row>
    <row r="123" spans="1:31" x14ac:dyDescent="0.3">
      <c r="A123" t="s">
        <v>131</v>
      </c>
      <c r="B123" t="s">
        <v>8</v>
      </c>
      <c r="C123" t="s">
        <v>147</v>
      </c>
      <c r="D123" t="s">
        <v>146</v>
      </c>
      <c r="E123">
        <v>1</v>
      </c>
      <c r="F123">
        <v>0</v>
      </c>
      <c r="I123">
        <f t="shared" ca="1" si="21"/>
        <v>12086</v>
      </c>
      <c r="J123">
        <f t="shared" ca="1" si="22"/>
        <v>12086</v>
      </c>
      <c r="K123">
        <f t="shared" si="23"/>
        <v>240625</v>
      </c>
      <c r="L123" cm="1">
        <f t="array" ref="L123">LEVEL_POSSIBLE($E123, $F123, $B123, $S$3:$W$16, $S$2:$W$2)</f>
        <v>1</v>
      </c>
      <c r="M123">
        <f t="shared" ca="1" si="24"/>
        <v>0</v>
      </c>
      <c r="N123" cm="1">
        <f t="array" ref="N123">CARDS_NEEDED($E123, $F123, $B123, $S$3:$W$16, $S$2:$W$2, $L123)</f>
        <v>2</v>
      </c>
      <c r="O123">
        <f t="shared" si="25"/>
        <v>50000</v>
      </c>
      <c r="P123">
        <f t="shared" si="26"/>
        <v>6</v>
      </c>
    </row>
  </sheetData>
  <mergeCells count="4">
    <mergeCell ref="R1:W1"/>
    <mergeCell ref="R26:S26"/>
    <mergeCell ref="AB1:AG1"/>
    <mergeCell ref="AB28:AD28"/>
  </mergeCells>
  <phoneticPr fontId="1" type="noConversion"/>
  <conditionalFormatting sqref="J2:J123 P2:P123">
    <cfRule type="cellIs" dxfId="5" priority="1" operator="lessThan">
      <formula>0</formula>
    </cfRule>
  </conditionalFormatting>
  <conditionalFormatting sqref="H2:H123">
    <cfRule type="expression" dxfId="4" priority="5">
      <formula>$C2="N"</formula>
    </cfRule>
    <cfRule type="expression" dxfId="3" priority="6">
      <formula>H2=6</formula>
    </cfRule>
  </conditionalFormatting>
  <conditionalFormatting sqref="O2:P123">
    <cfRule type="cellIs" dxfId="2" priority="7" operator="equal">
      <formula>0</formula>
    </cfRule>
  </conditionalFormatting>
  <conditionalFormatting sqref="G2:G123">
    <cfRule type="expression" dxfId="1" priority="2">
      <formula>$E2&lt;14</formula>
    </cfRule>
    <cfRule type="cellIs" dxfId="0" priority="4" operator="equal">
      <formula>50000</formula>
    </cfRule>
  </conditionalFormatting>
  <dataValidations count="5">
    <dataValidation type="custom" allowBlank="1" showInputMessage="1" showErrorMessage="1" errorTitle="Wrong Input!" error="Either the card is not yet at level 14 or you have not entered a number between 0 and 50000." promptTitle="Insert amount here" prompt="Enter the number of Elite Jokers already added." sqref="G2:G80 G83:G122" xr:uid="{2AABE989-1B03-427B-8D18-D733909D697A}">
      <formula1>AND(E2&gt;=14, INT(G2)=G2, G2&gt;=0, G2&lt;=50000)</formula1>
    </dataValidation>
    <dataValidation type="custom" allowBlank="1" showInputMessage="1" showErrorMessage="1" errorTitle="Wrong Input!" error="Either the card is not yet at level 14 or you have not entered a number between 0 and 50000." promptTitle="Insert amount here" prompt="Enter the number of Elite Jokers already added." sqref="G81" xr:uid="{0382EF41-6FCB-4049-B621-F1251E408695}">
      <formula1>AND(E82&gt;=14, INT(G81)=G81, G81&gt;=0, G81&lt;=50000)</formula1>
    </dataValidation>
    <dataValidation type="custom" allowBlank="1" showInputMessage="1" showErrorMessage="1" errorTitle="Wrong input" error="Either this card has no evolution or you have entered a value that is not between 0 and 6" promptTitle="Insert amount here" prompt="Enter the number of Evolution-Shards already collected" sqref="H2:H123" xr:uid="{508883B9-77EF-421E-BF25-94A98AF3C635}">
      <formula1>AND(ISNUMBER(H2), H2&gt;=0, H2&lt;=6, C2="Y")</formula1>
    </dataValidation>
    <dataValidation type="custom" allowBlank="1" showInputMessage="1" showErrorMessage="1" errorTitle="Wrong input" error="The card must have an integer level between 1 and 15" promptTitle="Insert level here" prompt="Insert current level of the card" sqref="E2:E123" xr:uid="{F21277C3-0453-4059-B695-92300F7AA887}">
      <formula1>AND(ISNUMBER(E2), E2&gt;0, E2&lt;=15)</formula1>
    </dataValidation>
    <dataValidation type="custom" allowBlank="1" showInputMessage="1" showErrorMessage="1" errorTitle="Wrong input" error="You can have collected between 0 and 15000 cards. If you have more than 15000 cards, you should upgrade things._x000a_If you have collected more than 15000 legendary cards, I'm afraid of you." promptTitle="Insert amount here" sqref="F2:F123" xr:uid="{9FA1614E-23A7-45F0-982D-DBC1946D8589}">
      <formula1>AND(ISNUMBER(E2), F2&gt;=0, F2&lt;=15000)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ignoredErrors>
    <ignoredError sqref="AD33" formula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Schulz</dc:creator>
  <cp:lastModifiedBy>Tom Schulz</cp:lastModifiedBy>
  <dcterms:created xsi:type="dcterms:W3CDTF">2024-11-12T11:35:53Z</dcterms:created>
  <dcterms:modified xsi:type="dcterms:W3CDTF">2025-02-27T14:46:06Z</dcterms:modified>
</cp:coreProperties>
</file>