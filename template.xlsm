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tomo0\GitHub\Clash-Royal-Progress-Tracker\"/>
    </mc:Choice>
  </mc:AlternateContent>
  <xr:revisionPtr revIDLastSave="0" documentId="13_ncr:1_{8EDE8C95-96C3-441D-A08B-01A0C23EE52E}" xr6:coauthVersionLast="47" xr6:coauthVersionMax="47" xr10:uidLastSave="{00000000-0000-0000-0000-000000000000}"/>
  <bookViews>
    <workbookView xWindow="-108" yWindow="-108" windowWidth="23256" windowHeight="12456" xr2:uid="{E966574D-D122-49E4-894D-9F1AB18463A1}"/>
  </bookViews>
  <sheets>
    <sheet name="Tabelle1" sheetId="1" r:id="rId1"/>
  </sheets>
  <functionGroups builtInGroupCount="19"/>
  <definedNames>
    <definedName name="_xleta.IF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62" i="1" l="1"/>
  <c r="AJ63" i="1" s="1"/>
  <c r="AJ64" i="1" s="1"/>
  <c r="AI62" i="1"/>
  <c r="AI63" i="1" s="1"/>
  <c r="AI64" i="1" s="1"/>
  <c r="AH62" i="1"/>
  <c r="AH63" i="1" s="1"/>
  <c r="AH64" i="1" s="1"/>
  <c r="AJ61" i="1"/>
  <c r="AI61" i="1"/>
  <c r="AH61" i="1"/>
  <c r="AI60" i="1"/>
  <c r="AJ60" i="1"/>
  <c r="AH60" i="1"/>
  <c r="AH33" i="1"/>
  <c r="AH31" i="1"/>
  <c r="AH30" i="1"/>
  <c r="AI3" i="1"/>
  <c r="AJ3" i="1"/>
  <c r="AK3" i="1"/>
  <c r="AL3" i="1"/>
  <c r="AH3" i="1"/>
  <c r="L6" i="1"/>
  <c r="M6" i="1" s="1"/>
  <c r="N6" i="1"/>
  <c r="R6" i="1"/>
  <c r="S6" i="1"/>
  <c r="T6" i="1"/>
  <c r="T13" i="1"/>
  <c r="T10" i="1"/>
  <c r="T11" i="1"/>
  <c r="T12" i="1"/>
  <c r="T9" i="1"/>
  <c r="T7" i="1"/>
  <c r="T8" i="1"/>
  <c r="T33" i="1"/>
  <c r="T29" i="1"/>
  <c r="T27" i="1"/>
  <c r="T31" i="1"/>
  <c r="T28" i="1"/>
  <c r="T32" i="1"/>
  <c r="T30" i="1"/>
  <c r="T26" i="1"/>
  <c r="T24" i="1"/>
  <c r="T25" i="1"/>
  <c r="T23" i="1"/>
  <c r="T20" i="1"/>
  <c r="T22" i="1"/>
  <c r="T21" i="1"/>
  <c r="T18" i="1"/>
  <c r="T19" i="1"/>
  <c r="T17" i="1"/>
  <c r="T16" i="1"/>
  <c r="T14" i="1"/>
  <c r="T15" i="1"/>
  <c r="T3" i="1"/>
  <c r="T2" i="1"/>
  <c r="T65" i="1"/>
  <c r="T62" i="1"/>
  <c r="T63" i="1"/>
  <c r="T64" i="1"/>
  <c r="T61" i="1"/>
  <c r="T57" i="1"/>
  <c r="T58" i="1"/>
  <c r="T56" i="1"/>
  <c r="T60" i="1"/>
  <c r="T55" i="1"/>
  <c r="T59" i="1"/>
  <c r="T48" i="1"/>
  <c r="T54" i="1"/>
  <c r="T51" i="1"/>
  <c r="T52" i="1"/>
  <c r="T49" i="1"/>
  <c r="T53" i="1"/>
  <c r="T41" i="1"/>
  <c r="T47" i="1"/>
  <c r="T45" i="1"/>
  <c r="T42" i="1"/>
  <c r="T43" i="1"/>
  <c r="T44" i="1"/>
  <c r="T46" i="1"/>
  <c r="T37" i="1"/>
  <c r="T38" i="1"/>
  <c r="T39" i="1"/>
  <c r="T40" i="1"/>
  <c r="T36" i="1"/>
  <c r="T35" i="1"/>
  <c r="T34" i="1"/>
  <c r="T4" i="1"/>
  <c r="T50" i="1"/>
  <c r="T95" i="1"/>
  <c r="T94" i="1"/>
  <c r="T93" i="1"/>
  <c r="T91" i="1"/>
  <c r="T90" i="1"/>
  <c r="T88" i="1"/>
  <c r="T89" i="1"/>
  <c r="T92" i="1"/>
  <c r="T86" i="1"/>
  <c r="T77" i="1"/>
  <c r="T81" i="1"/>
  <c r="T83" i="1"/>
  <c r="T78" i="1"/>
  <c r="T75" i="1"/>
  <c r="T80" i="1"/>
  <c r="T87" i="1"/>
  <c r="T85" i="1"/>
  <c r="T84" i="1"/>
  <c r="T79" i="1"/>
  <c r="T76" i="1"/>
  <c r="T82" i="1"/>
  <c r="T73" i="1"/>
  <c r="T74" i="1"/>
  <c r="T72" i="1"/>
  <c r="T71" i="1"/>
  <c r="T70" i="1"/>
  <c r="T69" i="1"/>
  <c r="T68" i="1"/>
  <c r="T67" i="1"/>
  <c r="T66" i="1"/>
  <c r="T124" i="1"/>
  <c r="T121" i="1"/>
  <c r="T122" i="1"/>
  <c r="T123" i="1"/>
  <c r="T118" i="1"/>
  <c r="T115" i="1"/>
  <c r="T117" i="1"/>
  <c r="T120" i="1"/>
  <c r="T116" i="1"/>
  <c r="T119" i="1"/>
  <c r="T113" i="1"/>
  <c r="T111" i="1"/>
  <c r="T112" i="1"/>
  <c r="T109" i="1"/>
  <c r="T110" i="1"/>
  <c r="T105" i="1"/>
  <c r="T106" i="1"/>
  <c r="T107" i="1"/>
  <c r="T108" i="1"/>
  <c r="T104" i="1"/>
  <c r="T103" i="1"/>
  <c r="T102" i="1"/>
  <c r="T99" i="1"/>
  <c r="T101" i="1"/>
  <c r="T100" i="1"/>
  <c r="T97" i="1"/>
  <c r="T98" i="1"/>
  <c r="T96" i="1"/>
  <c r="T114" i="1"/>
  <c r="T5" i="1"/>
  <c r="L29" i="1"/>
  <c r="O6" i="1" a="1"/>
  <c r="AL6" i="1" a="1"/>
  <c r="AJ6" i="1" a="1"/>
  <c r="AH4" i="1" a="1"/>
  <c r="AL4" i="1" a="1"/>
  <c r="AK6" i="1" a="1"/>
  <c r="AH6" i="1" a="1"/>
  <c r="AI4" i="1" a="1"/>
  <c r="AK4" i="1" a="1"/>
  <c r="AJ4" i="1" a="1"/>
  <c r="AI6" i="1" a="1"/>
  <c r="AL4" i="1" l="1"/>
  <c r="O6" i="1"/>
  <c r="AK6" i="1"/>
  <c r="AL6" i="1"/>
  <c r="AI6" i="1"/>
  <c r="AJ4" i="1"/>
  <c r="AK4" i="1"/>
  <c r="AI4" i="1"/>
  <c r="AH6" i="1"/>
  <c r="AH4" i="1"/>
  <c r="AJ6" i="1"/>
  <c r="AI8" i="1"/>
  <c r="AJ8" i="1"/>
  <c r="AK8" i="1"/>
  <c r="AL8" i="1"/>
  <c r="AH8" i="1"/>
  <c r="L114" i="1"/>
  <c r="M114" i="1" s="1"/>
  <c r="N114" i="1"/>
  <c r="R114" i="1"/>
  <c r="S114" i="1"/>
  <c r="L50" i="1"/>
  <c r="M50" i="1" s="1"/>
  <c r="N50" i="1"/>
  <c r="R50" i="1"/>
  <c r="S50" i="1"/>
  <c r="L2" i="1"/>
  <c r="M2" i="1" s="1"/>
  <c r="N2" i="1"/>
  <c r="R2" i="1"/>
  <c r="S2" i="1"/>
  <c r="R10" i="1"/>
  <c r="R9" i="1"/>
  <c r="R13" i="1"/>
  <c r="R7" i="1"/>
  <c r="R11" i="1"/>
  <c r="R12" i="1"/>
  <c r="R8" i="1"/>
  <c r="R26" i="1"/>
  <c r="R14" i="1"/>
  <c r="R15" i="1"/>
  <c r="R18" i="1"/>
  <c r="R24" i="1"/>
  <c r="R29" i="1"/>
  <c r="R27" i="1"/>
  <c r="R31" i="1"/>
  <c r="R25" i="1"/>
  <c r="R28" i="1"/>
  <c r="R23" i="1"/>
  <c r="R16" i="1"/>
  <c r="R32" i="1"/>
  <c r="R30" i="1"/>
  <c r="R3" i="1"/>
  <c r="R19" i="1"/>
  <c r="R20" i="1"/>
  <c r="R22" i="1"/>
  <c r="R33" i="1"/>
  <c r="R21" i="1"/>
  <c r="R17" i="1"/>
  <c r="R57" i="1"/>
  <c r="R58" i="1"/>
  <c r="R48" i="1"/>
  <c r="R36" i="1"/>
  <c r="R41" i="1"/>
  <c r="R37" i="1"/>
  <c r="R47" i="1"/>
  <c r="R54" i="1"/>
  <c r="R38" i="1"/>
  <c r="R56" i="1"/>
  <c r="R51" i="1"/>
  <c r="R45" i="1"/>
  <c r="R62" i="1"/>
  <c r="R35" i="1"/>
  <c r="R60" i="1"/>
  <c r="R42" i="1"/>
  <c r="R43" i="1"/>
  <c r="R39" i="1"/>
  <c r="R44" i="1"/>
  <c r="R4" i="1"/>
  <c r="R52" i="1"/>
  <c r="R55" i="1"/>
  <c r="R40" i="1"/>
  <c r="R46" i="1"/>
  <c r="R63" i="1"/>
  <c r="R65" i="1"/>
  <c r="R34" i="1"/>
  <c r="R49" i="1"/>
  <c r="R53" i="1"/>
  <c r="R59" i="1"/>
  <c r="R64" i="1"/>
  <c r="R61" i="1"/>
  <c r="R91" i="1"/>
  <c r="R90" i="1"/>
  <c r="R73" i="1"/>
  <c r="R69" i="1"/>
  <c r="R86" i="1"/>
  <c r="R74" i="1"/>
  <c r="R77" i="1"/>
  <c r="R72" i="1"/>
  <c r="R71" i="1"/>
  <c r="R95" i="1"/>
  <c r="R66" i="1"/>
  <c r="R68" i="1"/>
  <c r="R67" i="1"/>
  <c r="R81" i="1"/>
  <c r="R88" i="1"/>
  <c r="R83" i="1"/>
  <c r="R78" i="1"/>
  <c r="R75" i="1"/>
  <c r="R80" i="1"/>
  <c r="R87" i="1"/>
  <c r="R94" i="1"/>
  <c r="R85" i="1"/>
  <c r="R70" i="1"/>
  <c r="R84" i="1"/>
  <c r="R79" i="1"/>
  <c r="R76" i="1"/>
  <c r="R82" i="1"/>
  <c r="R89" i="1"/>
  <c r="R92" i="1"/>
  <c r="R93" i="1"/>
  <c r="R113" i="1"/>
  <c r="R118" i="1"/>
  <c r="R111" i="1"/>
  <c r="R115" i="1"/>
  <c r="R117" i="1"/>
  <c r="R99" i="1"/>
  <c r="R120" i="1"/>
  <c r="R97" i="1"/>
  <c r="R104" i="1"/>
  <c r="R98" i="1"/>
  <c r="R103" i="1"/>
  <c r="R112" i="1"/>
  <c r="R101" i="1"/>
  <c r="R109" i="1"/>
  <c r="R110" i="1"/>
  <c r="R124" i="1"/>
  <c r="R96" i="1"/>
  <c r="R102" i="1"/>
  <c r="R100" i="1"/>
  <c r="R105" i="1"/>
  <c r="R106" i="1"/>
  <c r="R116" i="1"/>
  <c r="R121" i="1"/>
  <c r="R122" i="1"/>
  <c r="R107" i="1"/>
  <c r="R108" i="1"/>
  <c r="R119" i="1"/>
  <c r="R123" i="1"/>
  <c r="R5" i="1"/>
  <c r="L10" i="1"/>
  <c r="M10" i="1" s="1"/>
  <c r="L9" i="1"/>
  <c r="M9" i="1" s="1"/>
  <c r="L13" i="1"/>
  <c r="M13" i="1" s="1"/>
  <c r="L7" i="1"/>
  <c r="M7" i="1" s="1"/>
  <c r="L11" i="1"/>
  <c r="M11" i="1" s="1"/>
  <c r="L12" i="1"/>
  <c r="M12" i="1" s="1"/>
  <c r="L8" i="1"/>
  <c r="M8" i="1" s="1"/>
  <c r="L26" i="1"/>
  <c r="M26" i="1" s="1"/>
  <c r="L14" i="1"/>
  <c r="M14" i="1" s="1"/>
  <c r="L15" i="1"/>
  <c r="M15" i="1" s="1"/>
  <c r="L18" i="1"/>
  <c r="M18" i="1" s="1"/>
  <c r="L24" i="1"/>
  <c r="M24" i="1" s="1"/>
  <c r="M29" i="1"/>
  <c r="L27" i="1"/>
  <c r="M27" i="1" s="1"/>
  <c r="L31" i="1"/>
  <c r="M31" i="1" s="1"/>
  <c r="L25" i="1"/>
  <c r="M25" i="1" s="1"/>
  <c r="L28" i="1"/>
  <c r="M28" i="1" s="1"/>
  <c r="L23" i="1"/>
  <c r="M23" i="1" s="1"/>
  <c r="L16" i="1"/>
  <c r="M16" i="1" s="1"/>
  <c r="L32" i="1"/>
  <c r="M32" i="1" s="1"/>
  <c r="L30" i="1"/>
  <c r="M30" i="1" s="1"/>
  <c r="L3" i="1"/>
  <c r="M3" i="1" s="1"/>
  <c r="L19" i="1"/>
  <c r="M19" i="1" s="1"/>
  <c r="L20" i="1"/>
  <c r="M20" i="1" s="1"/>
  <c r="L22" i="1"/>
  <c r="M22" i="1" s="1"/>
  <c r="L33" i="1"/>
  <c r="M33" i="1" s="1"/>
  <c r="L21" i="1"/>
  <c r="M21" i="1" s="1"/>
  <c r="L17" i="1"/>
  <c r="M17" i="1" s="1"/>
  <c r="L57" i="1"/>
  <c r="M57" i="1" s="1"/>
  <c r="L58" i="1"/>
  <c r="M58" i="1" s="1"/>
  <c r="L48" i="1"/>
  <c r="M48" i="1" s="1"/>
  <c r="L36" i="1"/>
  <c r="M36" i="1" s="1"/>
  <c r="L41" i="1"/>
  <c r="M41" i="1" s="1"/>
  <c r="L37" i="1"/>
  <c r="M37" i="1" s="1"/>
  <c r="L47" i="1"/>
  <c r="M47" i="1" s="1"/>
  <c r="L54" i="1"/>
  <c r="M54" i="1" s="1"/>
  <c r="L38" i="1"/>
  <c r="M38" i="1" s="1"/>
  <c r="L56" i="1"/>
  <c r="M56" i="1" s="1"/>
  <c r="L51" i="1"/>
  <c r="M51" i="1" s="1"/>
  <c r="L45" i="1"/>
  <c r="M45" i="1" s="1"/>
  <c r="L62" i="1"/>
  <c r="M62" i="1" s="1"/>
  <c r="L35" i="1"/>
  <c r="M35" i="1" s="1"/>
  <c r="L60" i="1"/>
  <c r="M60" i="1" s="1"/>
  <c r="L42" i="1"/>
  <c r="M42" i="1" s="1"/>
  <c r="L43" i="1"/>
  <c r="M43" i="1" s="1"/>
  <c r="L39" i="1"/>
  <c r="M39" i="1" s="1"/>
  <c r="L44" i="1"/>
  <c r="M44" i="1" s="1"/>
  <c r="L4" i="1"/>
  <c r="M4" i="1" s="1"/>
  <c r="L52" i="1"/>
  <c r="M52" i="1" s="1"/>
  <c r="L55" i="1"/>
  <c r="M55" i="1" s="1"/>
  <c r="L40" i="1"/>
  <c r="M40" i="1" s="1"/>
  <c r="L46" i="1"/>
  <c r="M46" i="1" s="1"/>
  <c r="L63" i="1"/>
  <c r="M63" i="1" s="1"/>
  <c r="L65" i="1"/>
  <c r="M65" i="1" s="1"/>
  <c r="L34" i="1"/>
  <c r="M34" i="1" s="1"/>
  <c r="L49" i="1"/>
  <c r="M49" i="1" s="1"/>
  <c r="L53" i="1"/>
  <c r="M53" i="1" s="1"/>
  <c r="L59" i="1"/>
  <c r="M59" i="1" s="1"/>
  <c r="L64" i="1"/>
  <c r="M64" i="1" s="1"/>
  <c r="L61" i="1"/>
  <c r="M61" i="1" s="1"/>
  <c r="L91" i="1"/>
  <c r="M91" i="1" s="1"/>
  <c r="L90" i="1"/>
  <c r="M90" i="1" s="1"/>
  <c r="L73" i="1"/>
  <c r="M73" i="1" s="1"/>
  <c r="L69" i="1"/>
  <c r="M69" i="1" s="1"/>
  <c r="L86" i="1"/>
  <c r="M86" i="1" s="1"/>
  <c r="L74" i="1"/>
  <c r="M74" i="1" s="1"/>
  <c r="L77" i="1"/>
  <c r="M77" i="1" s="1"/>
  <c r="L72" i="1"/>
  <c r="M72" i="1" s="1"/>
  <c r="L71" i="1"/>
  <c r="M71" i="1" s="1"/>
  <c r="L95" i="1"/>
  <c r="M95" i="1" s="1"/>
  <c r="L66" i="1"/>
  <c r="M66" i="1" s="1"/>
  <c r="L68" i="1"/>
  <c r="M68" i="1" s="1"/>
  <c r="L67" i="1"/>
  <c r="M67" i="1" s="1"/>
  <c r="L81" i="1"/>
  <c r="M81" i="1" s="1"/>
  <c r="L88" i="1"/>
  <c r="M88" i="1" s="1"/>
  <c r="L83" i="1"/>
  <c r="M83" i="1" s="1"/>
  <c r="L78" i="1"/>
  <c r="M78" i="1" s="1"/>
  <c r="L75" i="1"/>
  <c r="M75" i="1" s="1"/>
  <c r="L80" i="1"/>
  <c r="M80" i="1" s="1"/>
  <c r="L87" i="1"/>
  <c r="M87" i="1" s="1"/>
  <c r="L94" i="1"/>
  <c r="M94" i="1" s="1"/>
  <c r="L85" i="1"/>
  <c r="M85" i="1" s="1"/>
  <c r="L70" i="1"/>
  <c r="M70" i="1" s="1"/>
  <c r="L84" i="1"/>
  <c r="M84" i="1" s="1"/>
  <c r="L79" i="1"/>
  <c r="M79" i="1" s="1"/>
  <c r="L76" i="1"/>
  <c r="M76" i="1" s="1"/>
  <c r="L82" i="1"/>
  <c r="M82" i="1" s="1"/>
  <c r="L89" i="1"/>
  <c r="M89" i="1" s="1"/>
  <c r="L92" i="1"/>
  <c r="M92" i="1" s="1"/>
  <c r="L93" i="1"/>
  <c r="M93" i="1" s="1"/>
  <c r="L113" i="1"/>
  <c r="M113" i="1" s="1"/>
  <c r="L118" i="1"/>
  <c r="M118" i="1" s="1"/>
  <c r="L111" i="1"/>
  <c r="M111" i="1" s="1"/>
  <c r="L115" i="1"/>
  <c r="M115" i="1" s="1"/>
  <c r="L117" i="1"/>
  <c r="M117" i="1" s="1"/>
  <c r="L99" i="1"/>
  <c r="M99" i="1" s="1"/>
  <c r="L120" i="1"/>
  <c r="M120" i="1" s="1"/>
  <c r="L97" i="1"/>
  <c r="M97" i="1" s="1"/>
  <c r="L104" i="1"/>
  <c r="M104" i="1" s="1"/>
  <c r="L98" i="1"/>
  <c r="M98" i="1" s="1"/>
  <c r="L103" i="1"/>
  <c r="M103" i="1" s="1"/>
  <c r="L112" i="1"/>
  <c r="M112" i="1" s="1"/>
  <c r="L101" i="1"/>
  <c r="M101" i="1" s="1"/>
  <c r="L109" i="1"/>
  <c r="M109" i="1" s="1"/>
  <c r="L110" i="1"/>
  <c r="M110" i="1" s="1"/>
  <c r="L124" i="1"/>
  <c r="M124" i="1" s="1"/>
  <c r="L96" i="1"/>
  <c r="M96" i="1" s="1"/>
  <c r="L102" i="1"/>
  <c r="M102" i="1" s="1"/>
  <c r="L100" i="1"/>
  <c r="M100" i="1" s="1"/>
  <c r="L105" i="1"/>
  <c r="M105" i="1" s="1"/>
  <c r="L106" i="1"/>
  <c r="M106" i="1" s="1"/>
  <c r="L116" i="1"/>
  <c r="M116" i="1" s="1"/>
  <c r="L121" i="1"/>
  <c r="M121" i="1" s="1"/>
  <c r="L122" i="1"/>
  <c r="M122" i="1" s="1"/>
  <c r="L107" i="1"/>
  <c r="M107" i="1" s="1"/>
  <c r="L108" i="1"/>
  <c r="M108" i="1" s="1"/>
  <c r="L119" i="1"/>
  <c r="M119" i="1" s="1"/>
  <c r="L123" i="1"/>
  <c r="M123" i="1" s="1"/>
  <c r="L5" i="1"/>
  <c r="M5" i="1" s="1"/>
  <c r="S10" i="1"/>
  <c r="S9" i="1"/>
  <c r="S13" i="1"/>
  <c r="S7" i="1"/>
  <c r="S11" i="1"/>
  <c r="S12" i="1"/>
  <c r="S8" i="1"/>
  <c r="S26" i="1"/>
  <c r="S14" i="1"/>
  <c r="S15" i="1"/>
  <c r="S18" i="1"/>
  <c r="S24" i="1"/>
  <c r="S29" i="1"/>
  <c r="S27" i="1"/>
  <c r="S31" i="1"/>
  <c r="S25" i="1"/>
  <c r="S28" i="1"/>
  <c r="S23" i="1"/>
  <c r="S16" i="1"/>
  <c r="S32" i="1"/>
  <c r="S30" i="1"/>
  <c r="S3" i="1"/>
  <c r="S19" i="1"/>
  <c r="S20" i="1"/>
  <c r="S22" i="1"/>
  <c r="S33" i="1"/>
  <c r="S21" i="1"/>
  <c r="S17" i="1"/>
  <c r="S57" i="1"/>
  <c r="S58" i="1"/>
  <c r="S48" i="1"/>
  <c r="S36" i="1"/>
  <c r="S41" i="1"/>
  <c r="S37" i="1"/>
  <c r="S47" i="1"/>
  <c r="S54" i="1"/>
  <c r="S38" i="1"/>
  <c r="S56" i="1"/>
  <c r="S51" i="1"/>
  <c r="S45" i="1"/>
  <c r="S62" i="1"/>
  <c r="S35" i="1"/>
  <c r="S60" i="1"/>
  <c r="S42" i="1"/>
  <c r="S43" i="1"/>
  <c r="S39" i="1"/>
  <c r="S44" i="1"/>
  <c r="S4" i="1"/>
  <c r="S52" i="1"/>
  <c r="S55" i="1"/>
  <c r="S40" i="1"/>
  <c r="S46" i="1"/>
  <c r="S63" i="1"/>
  <c r="S65" i="1"/>
  <c r="S34" i="1"/>
  <c r="S49" i="1"/>
  <c r="S53" i="1"/>
  <c r="S59" i="1"/>
  <c r="S64" i="1"/>
  <c r="S61" i="1"/>
  <c r="S91" i="1"/>
  <c r="S90" i="1"/>
  <c r="S73" i="1"/>
  <c r="S69" i="1"/>
  <c r="S86" i="1"/>
  <c r="S74" i="1"/>
  <c r="S77" i="1"/>
  <c r="S72" i="1"/>
  <c r="S71" i="1"/>
  <c r="S95" i="1"/>
  <c r="S66" i="1"/>
  <c r="S68" i="1"/>
  <c r="S67" i="1"/>
  <c r="S81" i="1"/>
  <c r="S88" i="1"/>
  <c r="S83" i="1"/>
  <c r="S78" i="1"/>
  <c r="S75" i="1"/>
  <c r="S80" i="1"/>
  <c r="S87" i="1"/>
  <c r="S94" i="1"/>
  <c r="S85" i="1"/>
  <c r="S70" i="1"/>
  <c r="S84" i="1"/>
  <c r="S79" i="1"/>
  <c r="S76" i="1"/>
  <c r="S82" i="1"/>
  <c r="S89" i="1"/>
  <c r="S92" i="1"/>
  <c r="S93" i="1"/>
  <c r="S113" i="1"/>
  <c r="S118" i="1"/>
  <c r="S111" i="1"/>
  <c r="S115" i="1"/>
  <c r="S117" i="1"/>
  <c r="S99" i="1"/>
  <c r="S120" i="1"/>
  <c r="S97" i="1"/>
  <c r="S104" i="1"/>
  <c r="S98" i="1"/>
  <c r="S103" i="1"/>
  <c r="S112" i="1"/>
  <c r="S101" i="1"/>
  <c r="S109" i="1"/>
  <c r="S110" i="1"/>
  <c r="S124" i="1"/>
  <c r="S96" i="1"/>
  <c r="S102" i="1"/>
  <c r="S100" i="1"/>
  <c r="S105" i="1"/>
  <c r="S106" i="1"/>
  <c r="S116" i="1"/>
  <c r="S121" i="1"/>
  <c r="S122" i="1"/>
  <c r="S107" i="1"/>
  <c r="S108" i="1"/>
  <c r="S119" i="1"/>
  <c r="S123" i="1"/>
  <c r="S5" i="1"/>
  <c r="N80" i="1"/>
  <c r="N109" i="1"/>
  <c r="N87" i="1"/>
  <c r="N94" i="1"/>
  <c r="N40" i="1"/>
  <c r="N46" i="1"/>
  <c r="N63" i="1"/>
  <c r="N85" i="1"/>
  <c r="N110" i="1"/>
  <c r="N124" i="1"/>
  <c r="N70" i="1"/>
  <c r="N84" i="1"/>
  <c r="N96" i="1"/>
  <c r="N102" i="1"/>
  <c r="N22" i="1"/>
  <c r="N33" i="1"/>
  <c r="N65" i="1"/>
  <c r="N79" i="1"/>
  <c r="N100" i="1"/>
  <c r="N105" i="1"/>
  <c r="N106" i="1"/>
  <c r="N116" i="1"/>
  <c r="N121" i="1"/>
  <c r="N122" i="1"/>
  <c r="N21" i="1"/>
  <c r="N34" i="1"/>
  <c r="N49" i="1"/>
  <c r="N53" i="1"/>
  <c r="N59" i="1"/>
  <c r="N64" i="1"/>
  <c r="N76" i="1"/>
  <c r="N82" i="1"/>
  <c r="N89" i="1"/>
  <c r="N92" i="1"/>
  <c r="N107" i="1"/>
  <c r="N108" i="1"/>
  <c r="N119" i="1"/>
  <c r="N123" i="1"/>
  <c r="N3" i="1"/>
  <c r="N4" i="1"/>
  <c r="N5" i="1"/>
  <c r="N91" i="1"/>
  <c r="N90" i="1"/>
  <c r="N113" i="1"/>
  <c r="N118" i="1"/>
  <c r="N57" i="1"/>
  <c r="N10" i="1"/>
  <c r="N58" i="1"/>
  <c r="N112" i="1"/>
  <c r="N73" i="1"/>
  <c r="N111" i="1"/>
  <c r="N115" i="1"/>
  <c r="N117" i="1"/>
  <c r="N69" i="1"/>
  <c r="N48" i="1"/>
  <c r="N36" i="1"/>
  <c r="N41" i="1"/>
  <c r="N86" i="1"/>
  <c r="N37" i="1"/>
  <c r="N74" i="1"/>
  <c r="N56" i="1"/>
  <c r="N51" i="1"/>
  <c r="N14" i="1"/>
  <c r="N15" i="1"/>
  <c r="N45" i="1"/>
  <c r="N62" i="1"/>
  <c r="N9" i="1"/>
  <c r="N13" i="1"/>
  <c r="N26" i="1"/>
  <c r="N18" i="1"/>
  <c r="N7" i="1"/>
  <c r="N11" i="1"/>
  <c r="N12" i="1"/>
  <c r="N99" i="1"/>
  <c r="N35" i="1"/>
  <c r="N60" i="1"/>
  <c r="N42" i="1"/>
  <c r="N29" i="1"/>
  <c r="N27" i="1"/>
  <c r="N31" i="1"/>
  <c r="N8" i="1"/>
  <c r="N25" i="1"/>
  <c r="N28" i="1"/>
  <c r="N23" i="1"/>
  <c r="N101" i="1"/>
  <c r="N120" i="1"/>
  <c r="N97" i="1"/>
  <c r="N104" i="1"/>
  <c r="N77" i="1"/>
  <c r="N47" i="1"/>
  <c r="N72" i="1"/>
  <c r="N71" i="1"/>
  <c r="N95" i="1"/>
  <c r="N54" i="1"/>
  <c r="N83" i="1"/>
  <c r="N43" i="1"/>
  <c r="N24" i="1"/>
  <c r="N16" i="1"/>
  <c r="N32" i="1"/>
  <c r="N30" i="1"/>
  <c r="N19" i="1"/>
  <c r="N55" i="1"/>
  <c r="N20" i="1"/>
  <c r="N98" i="1"/>
  <c r="N103" i="1"/>
  <c r="N66" i="1"/>
  <c r="N68" i="1"/>
  <c r="N67" i="1"/>
  <c r="N81" i="1"/>
  <c r="N38" i="1"/>
  <c r="N39" i="1"/>
  <c r="N44" i="1"/>
  <c r="N52" i="1"/>
  <c r="N75" i="1"/>
  <c r="N17" i="1"/>
  <c r="N88" i="1"/>
  <c r="N61" i="1"/>
  <c r="N78" i="1"/>
  <c r="N93" i="1"/>
  <c r="O80" i="1" a="1"/>
  <c r="O102" i="1" a="1"/>
  <c r="O27" i="1" a="1"/>
  <c r="O101" i="1" a="1"/>
  <c r="O26" i="1" a="1"/>
  <c r="O39" i="1" a="1"/>
  <c r="O98" i="1" a="1"/>
  <c r="O38" i="1" a="1"/>
  <c r="O82" i="1" a="1"/>
  <c r="O56" i="1" a="1"/>
  <c r="O90" i="1" a="1"/>
  <c r="O108" i="1" a="1"/>
  <c r="O51" i="1" a="1"/>
  <c r="O23" i="1" a="1"/>
  <c r="O69" i="1" a="1"/>
  <c r="O29" i="1" a="1"/>
  <c r="O66" i="1" a="1"/>
  <c r="O84" i="1" a="1"/>
  <c r="O91" i="1" a="1"/>
  <c r="O8" i="1" a="1"/>
  <c r="O61" i="1" a="1"/>
  <c r="O14" i="1" a="1"/>
  <c r="O121" i="1" a="1"/>
  <c r="O83" i="1" a="1"/>
  <c r="O54" i="1" a="1"/>
  <c r="O116" i="1" a="1"/>
  <c r="O85" i="1" a="1"/>
  <c r="O113" i="1" a="1"/>
  <c r="O10" i="1" a="1"/>
  <c r="O124" i="1" a="1"/>
  <c r="O100" i="1" a="1"/>
  <c r="O123" i="1" a="1"/>
  <c r="O44" i="1" a="1"/>
  <c r="O28" i="1" a="1"/>
  <c r="O81" i="1" a="1"/>
  <c r="O59" i="1" a="1"/>
  <c r="O115" i="1" a="1"/>
  <c r="O122" i="1" a="1"/>
  <c r="O76" i="1" a="1"/>
  <c r="O50" i="1" a="1"/>
  <c r="O11" i="1" a="1"/>
  <c r="O47" i="1" a="1"/>
  <c r="O58" i="1" a="1"/>
  <c r="O17" i="1" a="1"/>
  <c r="O62" i="1" a="1"/>
  <c r="O15" i="1" a="1"/>
  <c r="O104" i="1" a="1"/>
  <c r="O36" i="1" a="1"/>
  <c r="O20" i="1" a="1"/>
  <c r="O79" i="1" a="1"/>
  <c r="O99" i="1" a="1"/>
  <c r="O5" i="1" a="1"/>
  <c r="O118" i="1" a="1"/>
  <c r="O45" i="1" a="1"/>
  <c r="O22" i="1" a="1"/>
  <c r="O97" i="1" a="1"/>
  <c r="O117" i="1" a="1"/>
  <c r="O19" i="1" a="1"/>
  <c r="O94" i="1" a="1"/>
  <c r="O48" i="1" a="1"/>
  <c r="O25" i="1" a="1"/>
  <c r="O89" i="1" a="1"/>
  <c r="O92" i="1" a="1"/>
  <c r="O46" i="1" a="1"/>
  <c r="O73" i="1" a="1"/>
  <c r="O78" i="1" a="1"/>
  <c r="O77" i="1" a="1"/>
  <c r="O112" i="1" a="1"/>
  <c r="O33" i="1" a="1"/>
  <c r="O64" i="1" a="1"/>
  <c r="O4" i="1" a="1"/>
  <c r="O49" i="1" a="1"/>
  <c r="O105" i="1" a="1"/>
  <c r="O71" i="1" a="1"/>
  <c r="O111" i="1" a="1"/>
  <c r="O67" i="1" a="1"/>
  <c r="O35" i="1" a="1"/>
  <c r="O103" i="1" a="1"/>
  <c r="O63" i="1" a="1"/>
  <c r="O12" i="1" a="1"/>
  <c r="O55" i="1" a="1"/>
  <c r="O31" i="1" a="1"/>
  <c r="O68" i="1" a="1"/>
  <c r="O34" i="1" a="1"/>
  <c r="O60" i="1" a="1"/>
  <c r="O119" i="1" a="1"/>
  <c r="O75" i="1" a="1"/>
  <c r="O40" i="1" a="1"/>
  <c r="O95" i="1" a="1"/>
  <c r="O65" i="1" a="1"/>
  <c r="O86" i="1" a="1"/>
  <c r="O24" i="1" a="1"/>
  <c r="O2" i="1" a="1"/>
  <c r="O32" i="1" a="1"/>
  <c r="O107" i="1" a="1"/>
  <c r="O57" i="1" a="1"/>
  <c r="O106" i="1" a="1"/>
  <c r="O74" i="1" a="1"/>
  <c r="O9" i="1" a="1"/>
  <c r="O120" i="1" a="1"/>
  <c r="O87" i="1" a="1"/>
  <c r="O18" i="1" a="1"/>
  <c r="O16" i="1" a="1"/>
  <c r="O43" i="1" a="1"/>
  <c r="O30" i="1" a="1"/>
  <c r="O93" i="1" a="1"/>
  <c r="O41" i="1" a="1"/>
  <c r="O88" i="1" a="1"/>
  <c r="O70" i="1" a="1"/>
  <c r="O110" i="1" a="1"/>
  <c r="O96" i="1" a="1"/>
  <c r="O109" i="1" a="1"/>
  <c r="O21" i="1" a="1"/>
  <c r="O114" i="1" a="1"/>
  <c r="O7" i="1" a="1"/>
  <c r="O72" i="1" a="1"/>
  <c r="O42" i="1" a="1"/>
  <c r="O52" i="1" a="1"/>
  <c r="O37" i="1" a="1"/>
  <c r="Q6" i="1" a="1"/>
  <c r="O3" i="1" a="1"/>
  <c r="O13" i="1" a="1"/>
  <c r="O53" i="1" a="1"/>
  <c r="AH9" i="1" l="1"/>
  <c r="AH10" i="1" s="1"/>
  <c r="Q6" i="1"/>
  <c r="AL9" i="1"/>
  <c r="AL10" i="1" s="1"/>
  <c r="AK9" i="1"/>
  <c r="AK10" i="1" s="1"/>
  <c r="P6" i="1"/>
  <c r="AI9" i="1"/>
  <c r="AI10" i="1" s="1"/>
  <c r="AJ9" i="1"/>
  <c r="AJ10" i="1" s="1"/>
  <c r="AJ5" i="1"/>
  <c r="AI5" i="1"/>
  <c r="AH5" i="1"/>
  <c r="AI7" i="1"/>
  <c r="AH7" i="1"/>
  <c r="AL5" i="1"/>
  <c r="AL7" i="1"/>
  <c r="AJ7" i="1"/>
  <c r="O114" i="1"/>
  <c r="O50" i="1"/>
  <c r="O17" i="1"/>
  <c r="O14" i="1"/>
  <c r="AK7" i="1"/>
  <c r="O2" i="1"/>
  <c r="AK5" i="1"/>
  <c r="AH32" i="1"/>
  <c r="AH34" i="1"/>
  <c r="AI31" i="1"/>
  <c r="AI32" i="1" s="1"/>
  <c r="AI33" i="1"/>
  <c r="AI34" i="1" s="1"/>
  <c r="O91" i="1"/>
  <c r="O49" i="1"/>
  <c r="O100" i="1"/>
  <c r="O70" i="1"/>
  <c r="O87" i="1"/>
  <c r="O108" i="1"/>
  <c r="O53" i="1"/>
  <c r="O105" i="1"/>
  <c r="O84" i="1"/>
  <c r="O94" i="1"/>
  <c r="O107" i="1"/>
  <c r="O106" i="1"/>
  <c r="O96" i="1"/>
  <c r="O40" i="1"/>
  <c r="O123" i="1"/>
  <c r="O64" i="1"/>
  <c r="O116" i="1"/>
  <c r="O102" i="1"/>
  <c r="O46" i="1"/>
  <c r="O76" i="1"/>
  <c r="O121" i="1"/>
  <c r="O22" i="1"/>
  <c r="O63" i="1"/>
  <c r="O119" i="1"/>
  <c r="O3" i="1"/>
  <c r="O82" i="1"/>
  <c r="O122" i="1"/>
  <c r="O33" i="1"/>
  <c r="O85" i="1"/>
  <c r="O59" i="1"/>
  <c r="O4" i="1"/>
  <c r="O89" i="1"/>
  <c r="O21" i="1"/>
  <c r="O65" i="1"/>
  <c r="O110" i="1"/>
  <c r="O80" i="1"/>
  <c r="O5" i="1"/>
  <c r="O92" i="1"/>
  <c r="O34" i="1"/>
  <c r="O79" i="1"/>
  <c r="O124" i="1"/>
  <c r="O109" i="1"/>
  <c r="O61" i="1"/>
  <c r="O19" i="1"/>
  <c r="O101" i="1"/>
  <c r="O26" i="1"/>
  <c r="O88" i="1"/>
  <c r="O44" i="1"/>
  <c r="O67" i="1"/>
  <c r="O98" i="1"/>
  <c r="O30" i="1"/>
  <c r="O43" i="1"/>
  <c r="O71" i="1"/>
  <c r="O104" i="1"/>
  <c r="O23" i="1"/>
  <c r="O31" i="1"/>
  <c r="O60" i="1"/>
  <c r="O11" i="1"/>
  <c r="O13" i="1"/>
  <c r="O15" i="1"/>
  <c r="O74" i="1"/>
  <c r="O36" i="1"/>
  <c r="O115" i="1"/>
  <c r="O81" i="1"/>
  <c r="O77" i="1"/>
  <c r="O45" i="1"/>
  <c r="O52" i="1"/>
  <c r="O24" i="1"/>
  <c r="O42" i="1"/>
  <c r="O56" i="1"/>
  <c r="O93" i="1"/>
  <c r="O39" i="1"/>
  <c r="O68" i="1"/>
  <c r="O20" i="1"/>
  <c r="O32" i="1"/>
  <c r="O83" i="1"/>
  <c r="O72" i="1"/>
  <c r="O97" i="1"/>
  <c r="O28" i="1"/>
  <c r="O27" i="1"/>
  <c r="O35" i="1"/>
  <c r="O7" i="1"/>
  <c r="O9" i="1"/>
  <c r="O37" i="1"/>
  <c r="O48" i="1"/>
  <c r="O111" i="1"/>
  <c r="O117" i="1"/>
  <c r="O103" i="1"/>
  <c r="O95" i="1"/>
  <c r="O8" i="1"/>
  <c r="O12" i="1"/>
  <c r="O41" i="1"/>
  <c r="O78" i="1"/>
  <c r="O75" i="1"/>
  <c r="O38" i="1"/>
  <c r="O66" i="1"/>
  <c r="O55" i="1"/>
  <c r="O16" i="1"/>
  <c r="O54" i="1"/>
  <c r="O47" i="1"/>
  <c r="O120" i="1"/>
  <c r="O25" i="1"/>
  <c r="O29" i="1"/>
  <c r="O99" i="1"/>
  <c r="O18" i="1"/>
  <c r="O62" i="1"/>
  <c r="O51" i="1"/>
  <c r="O86" i="1"/>
  <c r="O69" i="1"/>
  <c r="O73" i="1"/>
  <c r="O113" i="1"/>
  <c r="O10" i="1"/>
  <c r="O90" i="1"/>
  <c r="O118" i="1"/>
  <c r="O58" i="1"/>
  <c r="O57" i="1"/>
  <c r="O112" i="1"/>
  <c r="Q32" i="1" a="1"/>
  <c r="Q46" i="1" a="1"/>
  <c r="Q43" i="1" a="1"/>
  <c r="Q24" i="1" a="1"/>
  <c r="Q86" i="1" a="1"/>
  <c r="Q102" i="1" a="1"/>
  <c r="Q51" i="1" a="1"/>
  <c r="Q71" i="1" a="1"/>
  <c r="Q36" i="1" a="1"/>
  <c r="Q96" i="1" a="1"/>
  <c r="Q63" i="1" a="1"/>
  <c r="Q74" i="1" a="1"/>
  <c r="Q97" i="1" a="1"/>
  <c r="Q54" i="1" a="1"/>
  <c r="Q98" i="1" a="1"/>
  <c r="Q50" i="1" a="1"/>
  <c r="Q40" i="1" a="1"/>
  <c r="Q44" i="1" a="1"/>
  <c r="Q119" i="1" a="1"/>
  <c r="Q124" i="1" a="1"/>
  <c r="Q82" i="1" a="1"/>
  <c r="Q19" i="1" a="1"/>
  <c r="Q108" i="1" a="1"/>
  <c r="Q12" i="1" a="1"/>
  <c r="Q39" i="1" a="1"/>
  <c r="Q103" i="1" a="1"/>
  <c r="Q33" i="1" a="1"/>
  <c r="Q89" i="1" a="1"/>
  <c r="Q59" i="1" a="1"/>
  <c r="Q87" i="1" a="1"/>
  <c r="Q60" i="1" a="1"/>
  <c r="Q22" i="1" a="1"/>
  <c r="Q94" i="1" a="1"/>
  <c r="Q31" i="1" a="1"/>
  <c r="Q101" i="1" a="1"/>
  <c r="Q56" i="1" a="1"/>
  <c r="Q9" i="1" a="1"/>
  <c r="Q48" i="1" a="1"/>
  <c r="Q122" i="1" a="1"/>
  <c r="Q25" i="1" a="1"/>
  <c r="Q70" i="1" a="1"/>
  <c r="Q104" i="1" a="1"/>
  <c r="Q67" i="1" a="1"/>
  <c r="Q115" i="1" a="1"/>
  <c r="Q78" i="1" a="1"/>
  <c r="Q17" i="1" a="1"/>
  <c r="Q20" i="1" a="1"/>
  <c r="Q57" i="1" a="1"/>
  <c r="Q37" i="1" a="1"/>
  <c r="Q114" i="1" a="1"/>
  <c r="Q84" i="1" a="1"/>
  <c r="Q85" i="1" a="1"/>
  <c r="Q123" i="1" a="1"/>
  <c r="Q14" i="1" a="1"/>
  <c r="Q92" i="1" a="1"/>
  <c r="Q4" i="1" a="1"/>
  <c r="Q66" i="1" a="1"/>
  <c r="Q65" i="1" a="1"/>
  <c r="Q111" i="1" a="1"/>
  <c r="Q16" i="1" a="1"/>
  <c r="Q52" i="1" a="1"/>
  <c r="Q47" i="1" a="1"/>
  <c r="Q61" i="1" a="1"/>
  <c r="Q15" i="1" a="1"/>
  <c r="Q99" i="1" a="1"/>
  <c r="Q10" i="1" a="1"/>
  <c r="Q77" i="1" a="1"/>
  <c r="Q72" i="1" a="1"/>
  <c r="Q5" i="1" a="1"/>
  <c r="Q64" i="1" a="1"/>
  <c r="Q8" i="1" a="1"/>
  <c r="Q79" i="1" a="1"/>
  <c r="Q2" i="1" a="1"/>
  <c r="Q21" i="1" a="1"/>
  <c r="Q62" i="1" a="1"/>
  <c r="Q23" i="1" a="1"/>
  <c r="Q110" i="1" a="1"/>
  <c r="Q68" i="1" a="1"/>
  <c r="Q81" i="1" a="1"/>
  <c r="Q109" i="1" a="1"/>
  <c r="Q49" i="1" a="1"/>
  <c r="Q11" i="1" a="1"/>
  <c r="Q118" i="1" a="1"/>
  <c r="Q106" i="1" a="1"/>
  <c r="Q45" i="1" a="1"/>
  <c r="Q112" i="1" a="1"/>
  <c r="Q42" i="1" a="1"/>
  <c r="Q88" i="1" a="1"/>
  <c r="Q107" i="1" a="1"/>
  <c r="Q29" i="1" a="1"/>
  <c r="Q7" i="1" a="1"/>
  <c r="Q76" i="1" a="1"/>
  <c r="Q117" i="1" a="1"/>
  <c r="Q90" i="1" a="1"/>
  <c r="Q27" i="1" a="1"/>
  <c r="Q80" i="1" a="1"/>
  <c r="Q73" i="1" a="1"/>
  <c r="Q100" i="1" a="1"/>
  <c r="Q55" i="1" a="1"/>
  <c r="Q113" i="1" a="1"/>
  <c r="Q58" i="1" a="1"/>
  <c r="Q26" i="1" a="1"/>
  <c r="Q95" i="1" a="1"/>
  <c r="Q18" i="1" a="1"/>
  <c r="Q34" i="1" a="1"/>
  <c r="Q69" i="1" a="1"/>
  <c r="Q121" i="1" a="1"/>
  <c r="Q105" i="1" a="1"/>
  <c r="Q30" i="1" a="1"/>
  <c r="Q75" i="1" a="1"/>
  <c r="Q83" i="1" a="1"/>
  <c r="Q91" i="1" a="1"/>
  <c r="Q35" i="1" a="1"/>
  <c r="Q116" i="1" a="1"/>
  <c r="Q41" i="1" a="1"/>
  <c r="Q120" i="1" a="1"/>
  <c r="Q93" i="1" a="1"/>
  <c r="Q38" i="1" a="1"/>
  <c r="Q28" i="1" a="1"/>
  <c r="Q3" i="1" a="1"/>
  <c r="Q13" i="1" a="1"/>
  <c r="Q53" i="1" a="1"/>
  <c r="Q114" i="1" l="1"/>
  <c r="P114" i="1"/>
  <c r="Q50" i="1"/>
  <c r="P50" i="1"/>
  <c r="Q2" i="1"/>
  <c r="P2" i="1"/>
  <c r="Q17" i="1"/>
  <c r="Q111" i="1"/>
  <c r="Q47" i="1"/>
  <c r="Q8" i="1"/>
  <c r="Q19" i="1"/>
  <c r="Q25" i="1"/>
  <c r="Q31" i="1"/>
  <c r="Q48" i="1"/>
  <c r="Q41" i="1"/>
  <c r="Q36" i="1"/>
  <c r="Q42" i="1"/>
  <c r="Q9" i="1"/>
  <c r="Q7" i="1"/>
  <c r="Q20" i="1"/>
  <c r="Q52" i="1"/>
  <c r="Q13" i="1"/>
  <c r="Q30" i="1"/>
  <c r="Q61" i="1"/>
  <c r="Q37" i="1"/>
  <c r="Q14" i="1"/>
  <c r="Q16" i="1"/>
  <c r="Q32" i="1"/>
  <c r="Q15" i="1"/>
  <c r="Q35" i="1"/>
  <c r="Q45" i="1"/>
  <c r="Q11" i="1"/>
  <c r="Q73" i="1"/>
  <c r="Q28" i="1"/>
  <c r="Q97" i="1"/>
  <c r="Q23" i="1"/>
  <c r="Q51" i="1"/>
  <c r="Q83" i="1"/>
  <c r="Q101" i="1"/>
  <c r="Q62" i="1"/>
  <c r="Q24" i="1"/>
  <c r="Q29" i="1"/>
  <c r="Q38" i="1"/>
  <c r="Q27" i="1"/>
  <c r="Q77" i="1"/>
  <c r="Q60" i="1"/>
  <c r="P17" i="1"/>
  <c r="P111" i="1"/>
  <c r="P47" i="1"/>
  <c r="P8" i="1"/>
  <c r="P19" i="1"/>
  <c r="P25" i="1"/>
  <c r="P31" i="1"/>
  <c r="P48" i="1"/>
  <c r="P41" i="1"/>
  <c r="P36" i="1"/>
  <c r="P42" i="1"/>
  <c r="P9" i="1"/>
  <c r="P7" i="1"/>
  <c r="P20" i="1"/>
  <c r="P52" i="1"/>
  <c r="P13" i="1"/>
  <c r="P30" i="1"/>
  <c r="P61" i="1"/>
  <c r="P37" i="1"/>
  <c r="P14" i="1"/>
  <c r="P16" i="1"/>
  <c r="P32" i="1"/>
  <c r="P15" i="1"/>
  <c r="P35" i="1"/>
  <c r="P45" i="1"/>
  <c r="P11" i="1"/>
  <c r="P73" i="1"/>
  <c r="P28" i="1"/>
  <c r="P97" i="1"/>
  <c r="P23" i="1"/>
  <c r="P51" i="1"/>
  <c r="P83" i="1"/>
  <c r="P101" i="1"/>
  <c r="P62" i="1"/>
  <c r="P24" i="1"/>
  <c r="P29" i="1"/>
  <c r="P38" i="1"/>
  <c r="P27" i="1"/>
  <c r="P77" i="1"/>
  <c r="P60" i="1"/>
  <c r="Q93" i="1"/>
  <c r="P93" i="1"/>
  <c r="Q78" i="1"/>
  <c r="P78" i="1"/>
  <c r="Q88" i="1"/>
  <c r="P88" i="1"/>
  <c r="Q75" i="1"/>
  <c r="P75" i="1"/>
  <c r="Q44" i="1"/>
  <c r="P44" i="1"/>
  <c r="Q39" i="1"/>
  <c r="P39" i="1"/>
  <c r="Q81" i="1"/>
  <c r="P81" i="1"/>
  <c r="Q67" i="1"/>
  <c r="P67" i="1"/>
  <c r="Q68" i="1"/>
  <c r="P68" i="1"/>
  <c r="Q66" i="1"/>
  <c r="P66" i="1"/>
  <c r="Q103" i="1"/>
  <c r="P103" i="1"/>
  <c r="Q98" i="1"/>
  <c r="P98" i="1"/>
  <c r="Q55" i="1"/>
  <c r="P55" i="1"/>
  <c r="Q43" i="1"/>
  <c r="P43" i="1"/>
  <c r="Q54" i="1"/>
  <c r="P54" i="1"/>
  <c r="Q95" i="1"/>
  <c r="P95" i="1"/>
  <c r="Q71" i="1"/>
  <c r="P71" i="1"/>
  <c r="Q72" i="1"/>
  <c r="P72" i="1"/>
  <c r="Q104" i="1"/>
  <c r="P104" i="1"/>
  <c r="Q120" i="1"/>
  <c r="P120" i="1"/>
  <c r="Q99" i="1"/>
  <c r="P99" i="1"/>
  <c r="Q12" i="1"/>
  <c r="P12" i="1"/>
  <c r="Q18" i="1"/>
  <c r="P18" i="1"/>
  <c r="Q56" i="1"/>
  <c r="P56" i="1"/>
  <c r="Q74" i="1"/>
  <c r="P74" i="1"/>
  <c r="Q86" i="1"/>
  <c r="P86" i="1"/>
  <c r="Q69" i="1"/>
  <c r="P69" i="1"/>
  <c r="Q117" i="1"/>
  <c r="P117" i="1"/>
  <c r="Q115" i="1"/>
  <c r="P115" i="1"/>
  <c r="Q112" i="1"/>
  <c r="P112" i="1"/>
  <c r="Q26" i="1"/>
  <c r="P26" i="1"/>
  <c r="Q58" i="1"/>
  <c r="P58" i="1"/>
  <c r="Q10" i="1"/>
  <c r="P10" i="1"/>
  <c r="Q57" i="1"/>
  <c r="P57" i="1"/>
  <c r="Q118" i="1"/>
  <c r="P118" i="1"/>
  <c r="Q113" i="1"/>
  <c r="P113" i="1"/>
  <c r="Q90" i="1"/>
  <c r="P90" i="1"/>
  <c r="Q79" i="1"/>
  <c r="Q34" i="1"/>
  <c r="Q4" i="1"/>
  <c r="Q63" i="1"/>
  <c r="Q64" i="1"/>
  <c r="Q105" i="1"/>
  <c r="Q89" i="1"/>
  <c r="Q119" i="1"/>
  <c r="Q116" i="1"/>
  <c r="Q84" i="1"/>
  <c r="Q92" i="1"/>
  <c r="Q59" i="1"/>
  <c r="Q22" i="1"/>
  <c r="Q123" i="1"/>
  <c r="Q53" i="1"/>
  <c r="Q96" i="1"/>
  <c r="Q40" i="1"/>
  <c r="Q33" i="1"/>
  <c r="Q76" i="1"/>
  <c r="Q110" i="1"/>
  <c r="Q122" i="1"/>
  <c r="Q106" i="1"/>
  <c r="Q70" i="1"/>
  <c r="Q5" i="1"/>
  <c r="Q85" i="1"/>
  <c r="Q121" i="1"/>
  <c r="Q108" i="1"/>
  <c r="Q109" i="1"/>
  <c r="Q65" i="1"/>
  <c r="Q82" i="1"/>
  <c r="Q46" i="1"/>
  <c r="Q107" i="1"/>
  <c r="Q100" i="1"/>
  <c r="Q80" i="1"/>
  <c r="Q87" i="1"/>
  <c r="Q124" i="1"/>
  <c r="Q21" i="1"/>
  <c r="Q3" i="1"/>
  <c r="Q102" i="1"/>
  <c r="Q94" i="1"/>
  <c r="Q49" i="1"/>
  <c r="P79" i="1"/>
  <c r="P34" i="1"/>
  <c r="P4" i="1"/>
  <c r="P63" i="1"/>
  <c r="P64" i="1"/>
  <c r="P105" i="1"/>
  <c r="P89" i="1"/>
  <c r="P119" i="1"/>
  <c r="P116" i="1"/>
  <c r="P84" i="1"/>
  <c r="P92" i="1"/>
  <c r="P59" i="1"/>
  <c r="P22" i="1"/>
  <c r="P123" i="1"/>
  <c r="P53" i="1"/>
  <c r="P96" i="1"/>
  <c r="P40" i="1"/>
  <c r="P33" i="1"/>
  <c r="P76" i="1"/>
  <c r="P110" i="1"/>
  <c r="P122" i="1"/>
  <c r="P106" i="1"/>
  <c r="P70" i="1"/>
  <c r="P5" i="1"/>
  <c r="P85" i="1"/>
  <c r="P121" i="1"/>
  <c r="P108" i="1"/>
  <c r="P109" i="1"/>
  <c r="P65" i="1"/>
  <c r="P82" i="1"/>
  <c r="P46" i="1"/>
  <c r="P107" i="1"/>
  <c r="P100" i="1"/>
  <c r="P80" i="1"/>
  <c r="P87" i="1"/>
  <c r="P124" i="1"/>
  <c r="P21" i="1"/>
  <c r="P3" i="1"/>
  <c r="P102" i="1"/>
  <c r="P94" i="1"/>
  <c r="P49" i="1"/>
  <c r="Q91" i="1"/>
  <c r="P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<sst xmlns="http://schemas.openxmlformats.org/spreadsheetml/2006/main" count="435" uniqueCount="178">
  <si>
    <t>Level</t>
  </si>
  <si>
    <t>Mega Minion</t>
  </si>
  <si>
    <t>Dart Goblin</t>
  </si>
  <si>
    <t>Knight</t>
  </si>
  <si>
    <t>Bomber</t>
  </si>
  <si>
    <t>Tornado</t>
  </si>
  <si>
    <t>Mighty Miner</t>
  </si>
  <si>
    <t>Rare</t>
  </si>
  <si>
    <t>Common</t>
  </si>
  <si>
    <t>Epic</t>
  </si>
  <si>
    <t>Champion</t>
  </si>
  <si>
    <t>Goblin Barrel</t>
  </si>
  <si>
    <t>Archers</t>
  </si>
  <si>
    <t>Goblin Hut</t>
  </si>
  <si>
    <t>Minions</t>
  </si>
  <si>
    <t>Snowball</t>
  </si>
  <si>
    <t>Bats</t>
  </si>
  <si>
    <t>Rocket</t>
  </si>
  <si>
    <t>Goblin Drill</t>
  </si>
  <si>
    <t>Cannon Cart</t>
  </si>
  <si>
    <t>Mini PEKKA</t>
  </si>
  <si>
    <t>X-Bow</t>
  </si>
  <si>
    <t>Giant</t>
  </si>
  <si>
    <t>Clone</t>
  </si>
  <si>
    <t>Freeze</t>
  </si>
  <si>
    <t>Lava Hound</t>
  </si>
  <si>
    <t>Legendary</t>
  </si>
  <si>
    <t>Mega Knight</t>
  </si>
  <si>
    <t>Prince</t>
  </si>
  <si>
    <t>Rage</t>
  </si>
  <si>
    <t>Archer Queen</t>
  </si>
  <si>
    <t>Little Prince</t>
  </si>
  <si>
    <t>Inferno Dragon</t>
  </si>
  <si>
    <t>Graveyard</t>
  </si>
  <si>
    <t>Goblinstein</t>
  </si>
  <si>
    <t>Golden Knight</t>
  </si>
  <si>
    <t>Skeleton King</t>
  </si>
  <si>
    <t>Rascals</t>
  </si>
  <si>
    <t>Skeleton Army</t>
  </si>
  <si>
    <t>Executioner</t>
  </si>
  <si>
    <t>Ice Wizard</t>
  </si>
  <si>
    <t>Bandit</t>
  </si>
  <si>
    <t>Princess</t>
  </si>
  <si>
    <t>Monk</t>
  </si>
  <si>
    <t>Royal Ghost</t>
  </si>
  <si>
    <t>Magic Archer</t>
  </si>
  <si>
    <t>Barbarians</t>
  </si>
  <si>
    <t>Elitebarbarians</t>
  </si>
  <si>
    <t>Skeleton Dragons</t>
  </si>
  <si>
    <t>Zappies</t>
  </si>
  <si>
    <t>Witch</t>
  </si>
  <si>
    <t>Wizard</t>
  </si>
  <si>
    <t>Inferno Tower</t>
  </si>
  <si>
    <t>Healing Spirit</t>
  </si>
  <si>
    <t>Hunter</t>
  </si>
  <si>
    <t>Valkyrie</t>
  </si>
  <si>
    <t>Bowler</t>
  </si>
  <si>
    <t>Phoenix</t>
  </si>
  <si>
    <t>Sparky</t>
  </si>
  <si>
    <t>Fisherman</t>
  </si>
  <si>
    <t>Miner</t>
  </si>
  <si>
    <t>Ram Rider</t>
  </si>
  <si>
    <t>Void</t>
  </si>
  <si>
    <t>Royal Giant</t>
  </si>
  <si>
    <t>Mortar</t>
  </si>
  <si>
    <t>Three Musketers</t>
  </si>
  <si>
    <t>Barbarian Hut</t>
  </si>
  <si>
    <t>Elixier Pump</t>
  </si>
  <si>
    <t>Bomb Tower</t>
  </si>
  <si>
    <t>Lightning</t>
  </si>
  <si>
    <t>Goblin Giant</t>
  </si>
  <si>
    <t>Electro Dragon</t>
  </si>
  <si>
    <t>Dark Prince</t>
  </si>
  <si>
    <t>Goblin Demolisher</t>
  </si>
  <si>
    <t>Goblin Machine</t>
  </si>
  <si>
    <t>Elixier Golem</t>
  </si>
  <si>
    <t>Goblin Spell</t>
  </si>
  <si>
    <t>Battle Healer</t>
  </si>
  <si>
    <t>Suspicious Bush</t>
  </si>
  <si>
    <t>Goblins</t>
  </si>
  <si>
    <t>Cards to level 14</t>
  </si>
  <si>
    <t>cards collected</t>
  </si>
  <si>
    <t>cards needed to level 14</t>
  </si>
  <si>
    <t>Gold to level 14</t>
  </si>
  <si>
    <t>level possible</t>
  </si>
  <si>
    <t>Cards to next level</t>
  </si>
  <si>
    <t>Rarity</t>
  </si>
  <si>
    <t>Cards Name</t>
  </si>
  <si>
    <t>Hog Rider</t>
  </si>
  <si>
    <t>Cannon</t>
  </si>
  <si>
    <t>Musketeer</t>
  </si>
  <si>
    <t>Ice Golem</t>
  </si>
  <si>
    <t>Giant Skeleton</t>
  </si>
  <si>
    <t>Balloon</t>
  </si>
  <si>
    <t>Wall Breaker</t>
  </si>
  <si>
    <t>Goblin Cage</t>
  </si>
  <si>
    <t>Arrwos</t>
  </si>
  <si>
    <t>Skeletons</t>
  </si>
  <si>
    <t>Royal Hogs</t>
  </si>
  <si>
    <t>Fireball</t>
  </si>
  <si>
    <t>Royal Recruits</t>
  </si>
  <si>
    <t>Tesla</t>
  </si>
  <si>
    <t>Lumberjack</t>
  </si>
  <si>
    <t>The Log</t>
  </si>
  <si>
    <t>Mirror</t>
  </si>
  <si>
    <t>Flying Machine</t>
  </si>
  <si>
    <t>Minion Horde</t>
  </si>
  <si>
    <t>Royal Delivery</t>
  </si>
  <si>
    <t>Firecracker</t>
  </si>
  <si>
    <t xml:space="preserve">Zap </t>
  </si>
  <si>
    <t>Ice Spirit</t>
  </si>
  <si>
    <t>Electro Spirit</t>
  </si>
  <si>
    <t>Electro Giant</t>
  </si>
  <si>
    <t>Electro Wizard</t>
  </si>
  <si>
    <t>Night Witch</t>
  </si>
  <si>
    <t>Golem</t>
  </si>
  <si>
    <t>Poison</t>
  </si>
  <si>
    <t>Baby Dragon</t>
  </si>
  <si>
    <t>Guards</t>
  </si>
  <si>
    <t>Barbarian Barrel</t>
  </si>
  <si>
    <t>Furnace</t>
  </si>
  <si>
    <t>Battle Ram</t>
  </si>
  <si>
    <t>Earthquake</t>
  </si>
  <si>
    <t>Tombstone</t>
  </si>
  <si>
    <t>Skeleton Barrel</t>
  </si>
  <si>
    <t>Goblin Gang</t>
  </si>
  <si>
    <t>Spear Goblins</t>
  </si>
  <si>
    <t>Fire Spirit</t>
  </si>
  <si>
    <t>Dagger Duchess</t>
  </si>
  <si>
    <t>Cannoneer</t>
  </si>
  <si>
    <t>Tower Princess</t>
  </si>
  <si>
    <t>Ammount of cards stacked to Level X</t>
  </si>
  <si>
    <t>Gold to Upgrade to Level X</t>
  </si>
  <si>
    <t>Gold</t>
  </si>
  <si>
    <t>Cards total needed</t>
  </si>
  <si>
    <t>dif. Cards</t>
  </si>
  <si>
    <t>total Cards needed</t>
  </si>
  <si>
    <t>total Cards to collect</t>
  </si>
  <si>
    <t>Mother Witch</t>
  </si>
  <si>
    <t>Cards on level 14</t>
  </si>
  <si>
    <t>Cards on level 15</t>
  </si>
  <si>
    <t>Elixier</t>
  </si>
  <si>
    <t>Evolution (Y/N)</t>
  </si>
  <si>
    <t>Evolution-Shards</t>
  </si>
  <si>
    <t>Elite-Joker spend</t>
  </si>
  <si>
    <t>-</t>
  </si>
  <si>
    <t>N</t>
  </si>
  <si>
    <t>Y</t>
  </si>
  <si>
    <t>Percentage on level 14</t>
  </si>
  <si>
    <t>Percentage on level 15</t>
  </si>
  <si>
    <t>Cards collection percent</t>
  </si>
  <si>
    <t>Evolutions</t>
  </si>
  <si>
    <t>Amount Evolutions</t>
  </si>
  <si>
    <t>Evolutions collected</t>
  </si>
  <si>
    <t>Evolutions to collect</t>
  </si>
  <si>
    <t>Amounts</t>
  </si>
  <si>
    <t>Percentages</t>
  </si>
  <si>
    <t>Evolution shards to collect</t>
  </si>
  <si>
    <t>Evolution shards collected</t>
  </si>
  <si>
    <t>Gold needed</t>
  </si>
  <si>
    <t>Evolution-Shards needed</t>
  </si>
  <si>
    <t>Elite-Joker needed</t>
  </si>
  <si>
    <t>Royel Chef</t>
  </si>
  <si>
    <t>Rune Giant</t>
  </si>
  <si>
    <t>Berserker</t>
  </si>
  <si>
    <t>Star Level</t>
  </si>
  <si>
    <t>Star Points needed</t>
  </si>
  <si>
    <t>Max Star Level</t>
  </si>
  <si>
    <t>P.E.K.K.A.</t>
  </si>
  <si>
    <t>Boss Bandit</t>
  </si>
  <si>
    <t>Sorting Order</t>
  </si>
  <si>
    <t>Starlevel</t>
  </si>
  <si>
    <t xml:space="preserve">Starlevel </t>
  </si>
  <si>
    <t>Amount with star level</t>
  </si>
  <si>
    <t>Star Coins to collect</t>
  </si>
  <si>
    <t>Star Coins invested</t>
  </si>
  <si>
    <t>Star Levels finished [%]</t>
  </si>
  <si>
    <t>Star Levels to go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</si>
</sst>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Protection="1">
      <protection locked="0"/>
    </xf>
    <xf numFmtId="0" fontId="0" fillId="0" borderId="0" xfId="0" applyAlignment="1">
      <alignment horizontal="center"/>
    </xf>
  </cellXfs>
  <cellStyles count="1">
    <cellStyle name="Standard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font>
        <color theme="2" tint="-9.9948118533890809E-2"/>
      </font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ont>
        <color theme="2" tint="-9.9948118533890809E-2"/>
      </font>
      <fill>
        <patternFill>
          <bgColor theme="2" tint="-9.9948118533890809E-2"/>
        </patternFill>
      </fill>
      <border>
        <left/>
        <right/>
        <top/>
        <bottom/>
      </border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9" tint="0.59996337778862885"/>
        </patternFill>
      </fill>
      <border>
        <left/>
        <right/>
        <top/>
        <bottom/>
        <vertical/>
        <horizontal/>
      </border>
    </dxf>
    <dxf>
      <fill>
        <patternFill>
          <bgColor theme="2" tint="-9.9948118533890809E-2"/>
        </patternFill>
      </fill>
      <border>
        <left/>
        <right/>
        <top/>
        <bottom/>
      </border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Collection percent:</a:t>
            </a:r>
            <a:r>
              <a:rPr lang="en-US" baseline="0"/>
              <a:t> cards of one rarity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Tabelle1!$AG$10</c:f>
              <c:strCache>
                <c:ptCount val="1"/>
                <c:pt idx="0">
                  <c:v>Cards collection percent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Tabelle1!$AH$2:$AL$2</c:f>
              <c:strCache>
                <c:ptCount val="5"/>
                <c:pt idx="0">
                  <c:v>Common</c:v>
                </c:pt>
                <c:pt idx="1">
                  <c:v>Rare</c:v>
                </c:pt>
                <c:pt idx="2">
                  <c:v>Epic</c:v>
                </c:pt>
                <c:pt idx="3">
                  <c:v>Legendary</c:v>
                </c:pt>
                <c:pt idx="4">
                  <c:v>Champion</c:v>
                </c:pt>
              </c:strCache>
            </c:strRef>
          </c:cat>
          <c:val>
            <c:numRef>
              <c:f>Tabelle1!$AH$10:$AL$10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6-4798-9707-1154BE456971}"/>
            </c:ext>
          </c:extLst>
        </c:ser>
        <c:ser>
          <c:idx val="1"/>
          <c:order val="1"/>
          <c:tx>
            <c:strRef>
              <c:f>Tabelle1!$AG$5</c:f>
              <c:strCache>
                <c:ptCount val="1"/>
                <c:pt idx="0">
                  <c:v>Percentage on level 14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Tabelle1!$AH$5:$AL$5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3C-4765-A8EA-11907CB04B26}"/>
            </c:ext>
          </c:extLst>
        </c:ser>
        <c:ser>
          <c:idx val="2"/>
          <c:order val="2"/>
          <c:tx>
            <c:strRef>
              <c:f>Tabelle1!$AG$7</c:f>
              <c:strCache>
                <c:ptCount val="1"/>
                <c:pt idx="0">
                  <c:v>Percentage on level 15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Tabelle1!$AH$7:$AL$7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3C-4765-A8EA-11907CB04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7108239"/>
        <c:axId val="997092399"/>
      </c:barChart>
      <c:catAx>
        <c:axId val="99710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7092399"/>
        <c:crossesAt val="0"/>
        <c:auto val="1"/>
        <c:lblAlgn val="ctr"/>
        <c:lblOffset val="100"/>
        <c:noMultiLvlLbl val="0"/>
      </c:catAx>
      <c:valAx>
        <c:axId val="99709239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9710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1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Evolution percentages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tx2">
                <a:lumMod val="90000"/>
                <a:lumOff val="1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2E7-48E5-ABE4-395F91335DA9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E7-48E5-ABE4-395F91335DA9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2E7-48E5-ABE4-395F91335DA9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Tabelle1!$AG$31:$AG$32</c:f>
              <c:strCache>
                <c:ptCount val="2"/>
                <c:pt idx="0">
                  <c:v>Evolution shards collected</c:v>
                </c:pt>
                <c:pt idx="1">
                  <c:v>Evolution shards to collect</c:v>
                </c:pt>
              </c:strCache>
            </c:strRef>
          </c:cat>
          <c:val>
            <c:numRef>
              <c:f>Tabelle1!$AI$31:$AI$32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7-48E5-ABE4-395F91335DA9}"/>
            </c:ext>
          </c:extLst>
        </c:ser>
        <c:ser>
          <c:idx val="1"/>
          <c:order val="1"/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2E7-48E5-ABE4-395F91335DA9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62-4E61-B160-E22FD0DC605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2E7-48E5-ABE4-395F91335D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Tabelle1!$AI$33:$AI$34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E7-48E5-ABE4-395F91335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"/>
        <c:holeSize val="4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Star</a:t>
            </a:r>
            <a:r>
              <a:rPr lang="de-DE" baseline="0"/>
              <a:t> Level Percentages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doughnutChart>
        <c:varyColors val="1"/>
        <c:ser>
          <c:idx val="0"/>
          <c:order val="0"/>
          <c:tx>
            <c:v>3</c:v>
          </c:tx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09-4440-BF5F-31123F13F4B1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6F-4C9B-85A9-86E51448871A}"/>
              </c:ext>
            </c:extLst>
          </c:dPt>
          <c:cat>
            <c:strRef>
              <c:f>Tabelle1!$AG$63:$AG$64</c:f>
              <c:strCache>
                <c:ptCount val="2"/>
                <c:pt idx="0">
                  <c:v>Star Levels finished [%]</c:v>
                </c:pt>
                <c:pt idx="1">
                  <c:v>Star Levels to go [%]</c:v>
                </c:pt>
              </c:strCache>
            </c:strRef>
          </c:cat>
          <c:val>
            <c:numRef>
              <c:f>Tabelle1!$AH$63:$AH$64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09-4440-BF5F-31123F13F4B1}"/>
            </c:ext>
          </c:extLst>
        </c:ser>
        <c:ser>
          <c:idx val="1"/>
          <c:order val="1"/>
          <c:tx>
            <c:v>Datenreihen2</c:v>
          </c:tx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F09-4440-BF5F-31123F13F4B1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6F-4C9B-85A9-86E51448871A}"/>
              </c:ext>
            </c:extLst>
          </c:dPt>
          <c:cat>
            <c:strRef>
              <c:f>Tabelle1!$AG$63:$AG$64</c:f>
              <c:strCache>
                <c:ptCount val="2"/>
                <c:pt idx="0">
                  <c:v>Star Levels finished [%]</c:v>
                </c:pt>
                <c:pt idx="1">
                  <c:v>Star Levels to go [%]</c:v>
                </c:pt>
              </c:strCache>
            </c:strRef>
          </c:cat>
          <c:val>
            <c:numRef>
              <c:f>Tabelle1!$AI$63:$AI$64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09-4440-BF5F-31123F13F4B1}"/>
            </c:ext>
          </c:extLst>
        </c:ser>
        <c:ser>
          <c:idx val="2"/>
          <c:order val="2"/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09-4440-BF5F-31123F13F4B1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6F-4C9B-85A9-86E51448871A}"/>
              </c:ext>
            </c:extLst>
          </c:dPt>
          <c:cat>
            <c:strRef>
              <c:f>Tabelle1!$AG$63:$AG$64</c:f>
              <c:strCache>
                <c:ptCount val="2"/>
                <c:pt idx="0">
                  <c:v>Star Levels finished [%]</c:v>
                </c:pt>
                <c:pt idx="1">
                  <c:v>Star Levels to go [%]</c:v>
                </c:pt>
              </c:strCache>
            </c:strRef>
          </c:cat>
          <c:val>
            <c:numRef>
              <c:f>Tabelle1!$AJ$63:$AJ$64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9-4440-BF5F-31123F13F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1908</xdr:colOff>
      <xdr:row>11</xdr:row>
      <xdr:rowOff>8168</xdr:rowOff>
    </xdr:from>
    <xdr:to>
      <xdr:col>37</xdr:col>
      <xdr:colOff>279466</xdr:colOff>
      <xdr:row>25</xdr:row>
      <xdr:rowOff>140280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8E0D86C-8E12-5BA9-577E-B3957EC2D1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9769</xdr:colOff>
      <xdr:row>35</xdr:row>
      <xdr:rowOff>15631</xdr:rowOff>
    </xdr:from>
    <xdr:to>
      <xdr:col>36</xdr:col>
      <xdr:colOff>810846</xdr:colOff>
      <xdr:row>54</xdr:row>
      <xdr:rowOff>107461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DBBDD34B-25D9-EEB2-B958-25D36139C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1484923</xdr:colOff>
      <xdr:row>65</xdr:row>
      <xdr:rowOff>44938</xdr:rowOff>
    </xdr:from>
    <xdr:to>
      <xdr:col>35</xdr:col>
      <xdr:colOff>732692</xdr:colOff>
      <xdr:row>80</xdr:row>
      <xdr:rowOff>3907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665D551E-1836-8EE1-F68D-1F3B0B5250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36DE2C-65E3-469F-919C-4DC035CAF400}" name="Tabelle3" displayName="Tabelle3" ref="A1:T124" totalsRowShown="0">
  <autoFilter ref="A1:T124" xr:uid="{4936DE2C-65E3-469F-919C-4DC035CAF400}"/>
  <sortState xmlns:xlrd2="http://schemas.microsoft.com/office/spreadsheetml/2017/richdata2" ref="A2:T124">
    <sortCondition ref="C1:C124"/>
  </sortState>
  <tableColumns count="20">
    <tableColumn id="1" xr3:uid="{B0048EB3-4B43-4648-BF56-ED7F6627707D}" name="Cards Name"/>
    <tableColumn id="2" xr3:uid="{072DEE04-D3D7-41A6-BD2E-BC2F2620B777}" name="Rarity"/>
    <tableColumn id="20" xr3:uid="{B18DD6AA-464A-4FA7-AD83-6AF0ED99D3FC}" name="Sorting Order"/>
    <tableColumn id="16" xr3:uid="{F544B0C0-3EF1-4227-892D-C114974825B7}" name="Evolution (Y/N)"/>
    <tableColumn id="12" xr3:uid="{23BB9FC2-8C49-4B30-8A8E-AED5BBFFC83E}" name="Elixier"/>
    <tableColumn id="17" xr3:uid="{D1CB12CB-B607-49FB-A0EC-5AE6B67973E4}" name="Max Star Level"/>
    <tableColumn id="3" xr3:uid="{8389F1F2-1EF3-4D48-8C9D-6127FBBB2FBD}" name="Level"/>
    <tableColumn id="4" xr3:uid="{3432B5F3-E555-4E52-BCA8-E9981D4EBBD4}" name="cards collected"/>
    <tableColumn id="13" xr3:uid="{97FC94AA-3383-425E-B0B8-BCC164D88EAD}" name="Elite-Joker spend"/>
    <tableColumn id="11" xr3:uid="{E2F8D684-2F6A-4332-96DC-C01EE65CD1CC}" name="Evolution-Shards"/>
    <tableColumn id="19" xr3:uid="{64859017-96B2-4907-BE56-FF58DD046B22}" name="Star Level" dataDxfId="4"/>
    <tableColumn id="5" xr3:uid="{FFC51069-E73F-4483-B0B0-6B701C5F2BB3}" name="cards needed to level 14" dataDxfId="3">
      <calculatedColumnFormula>SUM(OFFSET($X$3:$X$17, $G2, MATCH($B2, $X$2:$AB$2, 0) - 1, 16 - $G2, 1))</calculatedColumnFormula>
    </tableColumn>
    <tableColumn id="6" xr3:uid="{D90E9CAF-3A2C-4BFF-AF9E-9DA118B4C292}" name="Cards to level 14">
      <calculatedColumnFormula>$L2-$H2</calculatedColumnFormula>
    </tableColumn>
    <tableColumn id="7" xr3:uid="{85D28590-84A1-4BD0-9C39-EB2D77C2C4A3}" name="Gold to level 14">
      <calculatedColumnFormula>SUMIFS($X$29:$X$41, $W$29:$W$41, "&gt;" &amp; $G2)</calculatedColumnFormula>
    </tableColumn>
    <tableColumn id="8" xr3:uid="{3909C45F-5705-4FE7-85B6-6BBB58B6BC37}" name="level possible">
      <calculatedColumnFormula array="1">LEVEL_POSSIBLE($G2, $H2, $B2, $X$3:$AB$16, $X$2:$AB$2)</calculatedColumnFormula>
    </tableColumn>
    <tableColumn id="9" xr3:uid="{E6F162D9-5992-4FED-A489-49AAB10E3425}" name="Gold needed">
      <calculatedColumnFormula>IFERROR(SUM(OFFSET($X$28:$X$41,$G2,0,$O2 - $G2,1)),0)</calculatedColumnFormula>
    </tableColumn>
    <tableColumn id="10" xr3:uid="{B6C1A713-8EB2-45B1-BB5E-D326B3B6ADEB}" name="Cards to next level">
      <calculatedColumnFormula array="1">CARDS_NEEDED($G2, $H2, $B2, $X$3:$AB$16, $X$2:$AB$2, $O2)</calculatedColumnFormula>
    </tableColumn>
    <tableColumn id="15" xr3:uid="{C2B425FF-D87A-40DD-8976-1466E557E764}" name="Elite-Joker needed" dataDxfId="2">
      <calculatedColumnFormula>IF(G2=15,0,50000-$I2)</calculatedColumnFormula>
    </tableColumn>
    <tableColumn id="18" xr3:uid="{FFF90100-E1F2-439D-AC2D-C68306F6A32D}" name="Evolution-Shards needed" dataDxfId="1">
      <calculatedColumnFormula>6-J2</calculatedColumnFormula>
    </tableColumn>
    <tableColumn id="22" xr3:uid="{46127CCD-5214-4E20-8290-A4B993E5A918}" name="Star Points needed" dataDxfId="0">
      <calculatedColumnFormula>SUMIFS($X$45:$X$47, $W$45:$W$47, "&gt;"&amp;K2, $W$45:$W$47, "&lt;="&amp;F2)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A36B-43EE-4657-A3BD-AB8103991EA1}">
  <sheetPr codeName="Tabelle1"/>
  <dimension ref="A1:AL124"/>
  <sheetViews>
    <sheetView tabSelected="1" zoomScale="79" zoomScaleNormal="130" workbookViewId="0">
      <selection activeCell="R2" sqref="R2"/>
    </sheetView>
  </sheetViews>
  <sheetFormatPr baseColWidth="10" defaultRowHeight="14.4" x14ac:dyDescent="0.3"/>
  <cols>
    <col min="1" max="1" width="16" bestFit="1" customWidth="1"/>
    <col min="2" max="2" width="9.44140625" bestFit="1" customWidth="1"/>
    <col min="3" max="3" width="15.21875" hidden="1" customWidth="1"/>
    <col min="4" max="4" width="17.109375" hidden="1" customWidth="1"/>
    <col min="5" max="6" width="9.44140625" hidden="1" customWidth="1"/>
    <col min="7" max="7" width="8.109375" bestFit="1" customWidth="1"/>
    <col min="8" max="8" width="16.44140625" bestFit="1" customWidth="1"/>
    <col min="9" max="9" width="17.77734375" bestFit="1" customWidth="1"/>
    <col min="10" max="11" width="19.77734375" customWidth="1"/>
    <col min="12" max="12" width="15.6640625" customWidth="1"/>
    <col min="13" max="13" width="17.44140625" bestFit="1" customWidth="1"/>
    <col min="14" max="14" width="16.44140625" bestFit="1" customWidth="1"/>
    <col min="15" max="15" width="15.109375" bestFit="1" customWidth="1"/>
    <col min="16" max="16" width="14.109375" bestFit="1" customWidth="1"/>
    <col min="17" max="17" width="19.109375" bestFit="1" customWidth="1"/>
    <col min="18" max="18" width="19.109375" customWidth="1"/>
    <col min="19" max="19" width="24.33203125" bestFit="1" customWidth="1"/>
    <col min="20" max="20" width="19.88671875" bestFit="1" customWidth="1"/>
    <col min="21" max="21" width="17.6640625" bestFit="1" customWidth="1"/>
    <col min="22" max="22" width="17.21875" customWidth="1"/>
    <col min="23" max="23" width="13" customWidth="1"/>
    <col min="24" max="24" width="18.33203125" customWidth="1"/>
    <col min="32" max="33" width="23.6640625" bestFit="1" customWidth="1"/>
    <col min="34" max="34" width="12" bestFit="1" customWidth="1"/>
    <col min="35" max="35" width="18.44140625" style="2" bestFit="1" customWidth="1"/>
    <col min="36" max="36" width="17.88671875" bestFit="1" customWidth="1"/>
  </cols>
  <sheetData>
    <row r="1" spans="1:38" x14ac:dyDescent="0.3">
      <c r="A1" t="s">
        <v>87</v>
      </c>
      <c r="B1" t="s">
        <v>86</v>
      </c>
      <c r="C1" t="s">
        <v>170</v>
      </c>
      <c r="D1" t="s">
        <v>142</v>
      </c>
      <c r="E1" t="s">
        <v>141</v>
      </c>
      <c r="F1" t="s">
        <v>167</v>
      </c>
      <c r="G1" t="s">
        <v>0</v>
      </c>
      <c r="H1" t="s">
        <v>81</v>
      </c>
      <c r="I1" t="s">
        <v>144</v>
      </c>
      <c r="J1" t="s">
        <v>143</v>
      </c>
      <c r="K1" t="s">
        <v>165</v>
      </c>
      <c r="L1" t="s">
        <v>82</v>
      </c>
      <c r="M1" t="s">
        <v>80</v>
      </c>
      <c r="N1" t="s">
        <v>83</v>
      </c>
      <c r="O1" t="s">
        <v>84</v>
      </c>
      <c r="P1" t="s">
        <v>159</v>
      </c>
      <c r="Q1" t="s">
        <v>85</v>
      </c>
      <c r="R1" t="s">
        <v>161</v>
      </c>
      <c r="S1" t="s">
        <v>160</v>
      </c>
      <c r="T1" t="s">
        <v>166</v>
      </c>
      <c r="W1" s="4" t="s">
        <v>131</v>
      </c>
      <c r="X1" s="4"/>
      <c r="Y1" s="4"/>
      <c r="Z1" s="4"/>
      <c r="AA1" s="4"/>
      <c r="AB1" s="4"/>
      <c r="AC1" s="1"/>
      <c r="AD1" s="1"/>
      <c r="AG1" s="4" t="s">
        <v>134</v>
      </c>
      <c r="AH1" s="4"/>
      <c r="AI1" s="4"/>
      <c r="AJ1" s="4"/>
      <c r="AK1" s="4"/>
      <c r="AL1" s="4"/>
    </row>
    <row r="2" spans="1:38" x14ac:dyDescent="0.3">
      <c r="A2" t="s">
        <v>162</v>
      </c>
      <c r="B2" t="s">
        <v>26</v>
      </c>
      <c r="C2">
        <v>-4</v>
      </c>
      <c r="D2" t="s">
        <v>146</v>
      </c>
      <c r="E2" t="s">
        <v>145</v>
      </c>
      <c r="F2">
        <v>0</v>
      </c>
      <c r="G2">
        <v>9</v>
      </c>
      <c r="H2">
        <v>0</v>
      </c>
      <c r="K2" s="3">
        <v>0</v>
      </c>
      <c r="L2">
        <f t="shared" ref="L2:L33" ca="1" si="0">SUM(OFFSET($X$3:$X$17, $G2, MATCH($B2, $X$2:$AB$2, 0) - 1, 16 - $G2, 1))</f>
        <v>42</v>
      </c>
      <c r="M2">
        <f t="shared" ref="M2:M33" ca="1" si="1">$L2-$H2</f>
        <v>42</v>
      </c>
      <c r="N2">
        <f t="shared" ref="N2:N33" si="2">SUMIFS($X$29:$X$41, $W$29:$W$41, "&gt;" &amp; $G2)</f>
        <v>233000</v>
      </c>
      <c r="O2" cm="1">
        <f t="array" ref="O2">LEVEL_POSSIBLE($G2, $H2, $B2, $X$3:$AB$16, $X$2:$AB$2)</f>
        <v>9</v>
      </c>
      <c r="P2">
        <f t="shared" ref="P2:P33" ca="1" si="3">IFERROR(SUM(OFFSET($X$28:$X$41,$G2,0,$O2 - $G2,1)),0)</f>
        <v>0</v>
      </c>
      <c r="Q2" cm="1">
        <f t="array" ref="Q2">CARDS_NEEDED($G2, $H2, $B2, $X$3:$AB$16, $X$2:$AB$2, $O2)</f>
        <v>2</v>
      </c>
      <c r="R2">
        <f t="shared" ref="R2:R33" si="4">IF(G2=15,0,50000-$I2)</f>
        <v>50000</v>
      </c>
      <c r="S2">
        <f t="shared" ref="S2:S33" si="5">6-J2</f>
        <v>6</v>
      </c>
      <c r="T2">
        <f t="shared" ref="T2:T33" si="6">SUMIFS($X$45:$X$47, $W$45:$W$47, "&gt;"&amp;K2, $W$45:$W$47, "&lt;="&amp;F2)</f>
        <v>0</v>
      </c>
      <c r="W2" t="s">
        <v>0</v>
      </c>
      <c r="X2" t="s">
        <v>8</v>
      </c>
      <c r="Y2" t="s">
        <v>7</v>
      </c>
      <c r="Z2" t="s">
        <v>9</v>
      </c>
      <c r="AA2" t="s">
        <v>26</v>
      </c>
      <c r="AB2" t="s">
        <v>10</v>
      </c>
      <c r="AG2" t="s">
        <v>86</v>
      </c>
      <c r="AH2" t="s">
        <v>8</v>
      </c>
      <c r="AI2" t="s">
        <v>7</v>
      </c>
      <c r="AJ2" t="s">
        <v>9</v>
      </c>
      <c r="AK2" t="s">
        <v>26</v>
      </c>
      <c r="AL2" t="s">
        <v>10</v>
      </c>
    </row>
    <row r="3" spans="1:38" x14ac:dyDescent="0.3">
      <c r="A3" t="s">
        <v>128</v>
      </c>
      <c r="B3" t="s">
        <v>26</v>
      </c>
      <c r="C3">
        <v>-3</v>
      </c>
      <c r="D3" t="s">
        <v>146</v>
      </c>
      <c r="E3" t="s">
        <v>145</v>
      </c>
      <c r="F3">
        <v>0</v>
      </c>
      <c r="G3">
        <v>9</v>
      </c>
      <c r="H3">
        <v>0</v>
      </c>
      <c r="K3" s="3">
        <v>0</v>
      </c>
      <c r="L3">
        <f t="shared" ca="1" si="0"/>
        <v>42</v>
      </c>
      <c r="M3">
        <f t="shared" ca="1" si="1"/>
        <v>42</v>
      </c>
      <c r="N3">
        <f t="shared" si="2"/>
        <v>233000</v>
      </c>
      <c r="O3" cm="1">
        <f t="array" ref="O3">LEVEL_POSSIBLE($G3, $H3, $B3, $X$3:$AB$16, $X$2:$AB$2)</f>
        <v>9</v>
      </c>
      <c r="P3">
        <f t="shared" ca="1" si="3"/>
        <v>0</v>
      </c>
      <c r="Q3" cm="1">
        <f t="array" ref="Q3">CARDS_NEEDED($G3, $H3, $B3, $X$3:$AB$16, $X$2:$AB$2, $O3)</f>
        <v>2</v>
      </c>
      <c r="R3">
        <f t="shared" si="4"/>
        <v>50000</v>
      </c>
      <c r="S3">
        <f t="shared" si="5"/>
        <v>6</v>
      </c>
      <c r="T3">
        <f t="shared" si="6"/>
        <v>0</v>
      </c>
      <c r="W3">
        <v>1</v>
      </c>
      <c r="X3">
        <v>0</v>
      </c>
      <c r="AG3" t="s">
        <v>135</v>
      </c>
      <c r="AH3">
        <f>COUNTIF($B$2:$B$124,AH$2)</f>
        <v>30</v>
      </c>
      <c r="AI3">
        <f>COUNTIF($B$2:$B$124,AI$2)</f>
        <v>30</v>
      </c>
      <c r="AJ3">
        <f>COUNTIF($B$2:$B$124,AJ$2)</f>
        <v>33</v>
      </c>
      <c r="AK3">
        <f>COUNTIF($B$2:$B$124,AK$2)</f>
        <v>22</v>
      </c>
      <c r="AL3">
        <f>COUNTIF($B$2:$B$124,AL$2)</f>
        <v>8</v>
      </c>
    </row>
    <row r="4" spans="1:38" x14ac:dyDescent="0.3">
      <c r="A4" t="s">
        <v>129</v>
      </c>
      <c r="B4" t="s">
        <v>9</v>
      </c>
      <c r="C4">
        <v>-2</v>
      </c>
      <c r="D4" t="s">
        <v>146</v>
      </c>
      <c r="E4" t="s">
        <v>145</v>
      </c>
      <c r="F4">
        <v>0</v>
      </c>
      <c r="G4">
        <v>6</v>
      </c>
      <c r="H4">
        <v>0</v>
      </c>
      <c r="K4" s="3">
        <v>0</v>
      </c>
      <c r="L4">
        <f t="shared" ca="1" si="0"/>
        <v>426</v>
      </c>
      <c r="M4">
        <f t="shared" ca="1" si="1"/>
        <v>426</v>
      </c>
      <c r="N4">
        <f t="shared" si="2"/>
        <v>240000</v>
      </c>
      <c r="O4" cm="1">
        <f t="array" ref="O4">LEVEL_POSSIBLE($G4, $H4, $B4, $X$3:$AB$16, $X$2:$AB$2)</f>
        <v>6</v>
      </c>
      <c r="P4">
        <f t="shared" ca="1" si="3"/>
        <v>0</v>
      </c>
      <c r="Q4" cm="1">
        <f t="array" ref="Q4">CARDS_NEEDED($G4, $H4, $B4, $X$3:$AB$16, $X$2:$AB$2, $O4)</f>
        <v>2</v>
      </c>
      <c r="R4">
        <f t="shared" si="4"/>
        <v>50000</v>
      </c>
      <c r="S4">
        <f t="shared" si="5"/>
        <v>6</v>
      </c>
      <c r="T4">
        <f t="shared" si="6"/>
        <v>0</v>
      </c>
      <c r="W4">
        <v>2</v>
      </c>
      <c r="X4">
        <v>2</v>
      </c>
      <c r="AG4" t="s">
        <v>139</v>
      </c>
      <c r="AH4" cm="1">
        <f t="array" ref="AH4">COUNT_LEVELS_PER_RARITY($G$2:$G$124, 14, AH$2, $B$2:$B$124)</f>
        <v>0</v>
      </c>
      <c r="AI4" cm="1">
        <f t="array" ref="AI4">COUNT_LEVELS_PER_RARITY($G$2:$G$124, 14, AI$2, $B$2:$B$124)</f>
        <v>0</v>
      </c>
      <c r="AJ4" cm="1">
        <f t="array" ref="AJ4">COUNT_LEVELS_PER_RARITY($G$2:$G$124, 14, AJ$2, $B$2:$B$124)</f>
        <v>0</v>
      </c>
      <c r="AK4" cm="1">
        <f t="array" ref="AK4">COUNT_LEVELS_PER_RARITY($G$2:$G$124, 14, AK$2, $B$2:$B$124)</f>
        <v>0</v>
      </c>
      <c r="AL4" cm="1">
        <f t="array" ref="AL4">COUNT_LEVELS_PER_RARITY($G$2:$G$124, 14, AL$2, $B$2:$B$124)</f>
        <v>0</v>
      </c>
    </row>
    <row r="5" spans="1:38" x14ac:dyDescent="0.3">
      <c r="A5" t="s">
        <v>130</v>
      </c>
      <c r="B5" t="s">
        <v>8</v>
      </c>
      <c r="C5">
        <v>-1</v>
      </c>
      <c r="D5" t="s">
        <v>146</v>
      </c>
      <c r="E5" t="s">
        <v>145</v>
      </c>
      <c r="F5">
        <v>0</v>
      </c>
      <c r="G5">
        <v>1</v>
      </c>
      <c r="H5">
        <v>0</v>
      </c>
      <c r="K5" s="3">
        <v>0</v>
      </c>
      <c r="L5">
        <f t="shared" ca="1" si="0"/>
        <v>12086</v>
      </c>
      <c r="M5">
        <f t="shared" ca="1" si="1"/>
        <v>12086</v>
      </c>
      <c r="N5">
        <f t="shared" si="2"/>
        <v>240625</v>
      </c>
      <c r="O5" cm="1">
        <f t="array" ref="O5">LEVEL_POSSIBLE($G5, $H5, $B5, $X$3:$AB$16, $X$2:$AB$2)</f>
        <v>1</v>
      </c>
      <c r="P5">
        <f t="shared" ca="1" si="3"/>
        <v>0</v>
      </c>
      <c r="Q5" cm="1">
        <f t="array" ref="Q5">CARDS_NEEDED($G5, $H5, $B5, $X$3:$AB$16, $X$2:$AB$2, $O5)</f>
        <v>2</v>
      </c>
      <c r="R5">
        <f t="shared" si="4"/>
        <v>50000</v>
      </c>
      <c r="S5">
        <f t="shared" si="5"/>
        <v>6</v>
      </c>
      <c r="T5">
        <f t="shared" si="6"/>
        <v>0</v>
      </c>
      <c r="W5">
        <v>3</v>
      </c>
      <c r="X5">
        <v>4</v>
      </c>
      <c r="AG5" t="s">
        <v>148</v>
      </c>
      <c r="AH5">
        <f>AH4/AH3</f>
        <v>0</v>
      </c>
      <c r="AI5">
        <f t="shared" ref="AI5:AL5" si="7">AI4/AI3</f>
        <v>0</v>
      </c>
      <c r="AJ5">
        <f t="shared" si="7"/>
        <v>0</v>
      </c>
      <c r="AK5">
        <f t="shared" si="7"/>
        <v>0</v>
      </c>
      <c r="AL5">
        <f t="shared" si="7"/>
        <v>0</v>
      </c>
    </row>
    <row r="6" spans="1:38" x14ac:dyDescent="0.3">
      <c r="A6" t="s">
        <v>169</v>
      </c>
      <c r="B6" t="s">
        <v>10</v>
      </c>
      <c r="C6">
        <v>1</v>
      </c>
      <c r="D6" t="s">
        <v>146</v>
      </c>
      <c r="E6">
        <v>6</v>
      </c>
      <c r="F6">
        <v>0</v>
      </c>
      <c r="G6">
        <v>11</v>
      </c>
      <c r="H6">
        <v>0</v>
      </c>
      <c r="K6" s="3">
        <v>0</v>
      </c>
      <c r="L6">
        <f t="shared" ca="1" si="0"/>
        <v>30</v>
      </c>
      <c r="M6">
        <f t="shared" ca="1" si="1"/>
        <v>30</v>
      </c>
      <c r="N6">
        <f t="shared" si="2"/>
        <v>210000</v>
      </c>
      <c r="O6" cm="1">
        <f t="array" ref="O6">LEVEL_POSSIBLE($G6, $H6, $B6, $X$3:$AB$16, $X$2:$AB$2)</f>
        <v>11</v>
      </c>
      <c r="P6">
        <f t="shared" ca="1" si="3"/>
        <v>0</v>
      </c>
      <c r="Q6" cm="1">
        <f t="array" ref="Q6">CARDS_NEEDED($G6, $H6, $B6, $X$3:$AB$16, $X$2:$AB$2, $O6)</f>
        <v>2</v>
      </c>
      <c r="R6">
        <f t="shared" si="4"/>
        <v>50000</v>
      </c>
      <c r="S6">
        <f t="shared" si="5"/>
        <v>6</v>
      </c>
      <c r="T6">
        <f t="shared" si="6"/>
        <v>0</v>
      </c>
      <c r="W6">
        <v>4</v>
      </c>
      <c r="X6">
        <v>10</v>
      </c>
      <c r="Y6">
        <v>2</v>
      </c>
      <c r="AG6" t="s">
        <v>140</v>
      </c>
      <c r="AH6" cm="1">
        <f t="array" ref="AH6">COUNT_LEVELS_PER_RARITY($G$2:$G$124, 15, AH$2, $B$2:$B$124)</f>
        <v>0</v>
      </c>
      <c r="AI6" cm="1">
        <f t="array" ref="AI6">COUNT_LEVELS_PER_RARITY($G$2:$G$124, 15, AI$2, $B$2:$B$124)</f>
        <v>0</v>
      </c>
      <c r="AJ6" cm="1">
        <f t="array" ref="AJ6">COUNT_LEVELS_PER_RARITY($G$2:$G$124, 15, AJ$2, $B$2:$B$124)</f>
        <v>0</v>
      </c>
      <c r="AK6" cm="1">
        <f t="array" ref="AK6">COUNT_LEVELS_PER_RARITY($G$2:$G$124, 15, AK$2, $B$2:$B$124)</f>
        <v>0</v>
      </c>
      <c r="AL6" cm="1">
        <f t="array" ref="AL6">COUNT_LEVELS_PER_RARITY($G$2:$G$124, 15, AL$2, $B$2:$B$124)</f>
        <v>0</v>
      </c>
    </row>
    <row r="7" spans="1:38" x14ac:dyDescent="0.3">
      <c r="A7" t="s">
        <v>34</v>
      </c>
      <c r="B7" t="s">
        <v>10</v>
      </c>
      <c r="C7">
        <v>2</v>
      </c>
      <c r="D7" t="s">
        <v>146</v>
      </c>
      <c r="E7">
        <v>5</v>
      </c>
      <c r="F7">
        <v>0</v>
      </c>
      <c r="G7">
        <v>11</v>
      </c>
      <c r="H7">
        <v>0</v>
      </c>
      <c r="K7" s="3">
        <v>0</v>
      </c>
      <c r="L7">
        <f t="shared" ca="1" si="0"/>
        <v>30</v>
      </c>
      <c r="M7">
        <f t="shared" ca="1" si="1"/>
        <v>30</v>
      </c>
      <c r="N7">
        <f t="shared" si="2"/>
        <v>210000</v>
      </c>
      <c r="O7" cm="1">
        <f t="array" ref="O7">LEVEL_POSSIBLE($G7, $H7, $B7, $X$3:$AB$16, $X$2:$AB$2)</f>
        <v>11</v>
      </c>
      <c r="P7">
        <f t="shared" ca="1" si="3"/>
        <v>0</v>
      </c>
      <c r="Q7" cm="1">
        <f t="array" ref="Q7">CARDS_NEEDED($G7, $H7, $B7, $X$3:$AB$16, $X$2:$AB$2, $O7)</f>
        <v>2</v>
      </c>
      <c r="R7">
        <f t="shared" si="4"/>
        <v>50000</v>
      </c>
      <c r="S7">
        <f t="shared" si="5"/>
        <v>6</v>
      </c>
      <c r="T7">
        <f t="shared" si="6"/>
        <v>0</v>
      </c>
      <c r="W7">
        <v>5</v>
      </c>
      <c r="X7">
        <v>20</v>
      </c>
      <c r="Y7">
        <v>4</v>
      </c>
      <c r="AG7" t="s">
        <v>149</v>
      </c>
      <c r="AH7">
        <f>AH6/AH3</f>
        <v>0</v>
      </c>
      <c r="AI7">
        <f t="shared" ref="AI7:AL7" si="8">AI6/AI3</f>
        <v>0</v>
      </c>
      <c r="AJ7">
        <f t="shared" si="8"/>
        <v>0</v>
      </c>
      <c r="AK7">
        <f t="shared" si="8"/>
        <v>0</v>
      </c>
      <c r="AL7">
        <f t="shared" si="8"/>
        <v>0</v>
      </c>
    </row>
    <row r="8" spans="1:38" x14ac:dyDescent="0.3">
      <c r="A8" t="s">
        <v>43</v>
      </c>
      <c r="B8" t="s">
        <v>10</v>
      </c>
      <c r="C8">
        <v>3</v>
      </c>
      <c r="D8" t="s">
        <v>146</v>
      </c>
      <c r="E8">
        <v>5</v>
      </c>
      <c r="F8">
        <v>0</v>
      </c>
      <c r="G8">
        <v>11</v>
      </c>
      <c r="H8">
        <v>0</v>
      </c>
      <c r="K8" s="3">
        <v>0</v>
      </c>
      <c r="L8">
        <f t="shared" ca="1" si="0"/>
        <v>30</v>
      </c>
      <c r="M8">
        <f t="shared" ca="1" si="1"/>
        <v>30</v>
      </c>
      <c r="N8">
        <f t="shared" si="2"/>
        <v>210000</v>
      </c>
      <c r="O8" cm="1">
        <f t="array" ref="O8">LEVEL_POSSIBLE($G8, $H8, $B8, $X$3:$AB$16, $X$2:$AB$2)</f>
        <v>11</v>
      </c>
      <c r="P8">
        <f t="shared" ca="1" si="3"/>
        <v>0</v>
      </c>
      <c r="Q8" cm="1">
        <f t="array" ref="Q8">CARDS_NEEDED($G8, $H8, $B8, $X$3:$AB$16, $X$2:$AB$2, $O8)</f>
        <v>2</v>
      </c>
      <c r="R8">
        <f t="shared" si="4"/>
        <v>50000</v>
      </c>
      <c r="S8">
        <f t="shared" si="5"/>
        <v>6</v>
      </c>
      <c r="T8">
        <f t="shared" si="6"/>
        <v>0</v>
      </c>
      <c r="W8">
        <v>6</v>
      </c>
      <c r="X8">
        <v>50</v>
      </c>
      <c r="Y8">
        <v>10</v>
      </c>
      <c r="Z8">
        <v>0</v>
      </c>
      <c r="AG8" t="s">
        <v>136</v>
      </c>
      <c r="AH8">
        <f>AH3*SUM(X$3:X$16)</f>
        <v>362580</v>
      </c>
      <c r="AI8">
        <f>AI3*SUM(Y$3:Y$16)</f>
        <v>98580</v>
      </c>
      <c r="AJ8">
        <f>AJ3*SUM(Z$3:Z$16)</f>
        <v>14058</v>
      </c>
      <c r="AK8">
        <f>AK3*SUM(AA$3:AA$16)</f>
        <v>924</v>
      </c>
      <c r="AL8">
        <f>AL3*SUM(AB$3:AB$16)</f>
        <v>240</v>
      </c>
    </row>
    <row r="9" spans="1:38" x14ac:dyDescent="0.3">
      <c r="A9" t="s">
        <v>30</v>
      </c>
      <c r="B9" t="s">
        <v>10</v>
      </c>
      <c r="C9">
        <v>4</v>
      </c>
      <c r="D9" t="s">
        <v>146</v>
      </c>
      <c r="E9">
        <v>5</v>
      </c>
      <c r="F9">
        <v>0</v>
      </c>
      <c r="G9">
        <v>11</v>
      </c>
      <c r="H9">
        <v>0</v>
      </c>
      <c r="K9" s="3">
        <v>0</v>
      </c>
      <c r="L9">
        <f t="shared" ca="1" si="0"/>
        <v>30</v>
      </c>
      <c r="M9">
        <f t="shared" ca="1" si="1"/>
        <v>30</v>
      </c>
      <c r="N9">
        <f t="shared" si="2"/>
        <v>210000</v>
      </c>
      <c r="O9" cm="1">
        <f t="array" ref="O9">LEVEL_POSSIBLE($G9, $H9, $B9, $X$3:$AB$16, $X$2:$AB$2)</f>
        <v>11</v>
      </c>
      <c r="P9">
        <f t="shared" ca="1" si="3"/>
        <v>0</v>
      </c>
      <c r="Q9" cm="1">
        <f t="array" ref="Q9">CARDS_NEEDED($G9, $H9, $B9, $X$3:$AB$16, $X$2:$AB$2, $O9)</f>
        <v>2</v>
      </c>
      <c r="R9">
        <f t="shared" si="4"/>
        <v>50000</v>
      </c>
      <c r="S9">
        <f t="shared" si="5"/>
        <v>6</v>
      </c>
      <c r="T9">
        <f t="shared" si="6"/>
        <v>0</v>
      </c>
      <c r="W9">
        <v>7</v>
      </c>
      <c r="X9">
        <v>100</v>
      </c>
      <c r="Y9">
        <v>20</v>
      </c>
      <c r="Z9">
        <v>2</v>
      </c>
      <c r="AG9" t="s">
        <v>137</v>
      </c>
      <c r="AH9">
        <f ca="1">SUMIFS($M$2:$M$124, $B$2:$B$124, AH$2, $M$2:$M$124, "&gt;0")</f>
        <v>362580</v>
      </c>
      <c r="AI9">
        <f ca="1">SUMIFS($M$2:$M$124, $B$2:$B$124, AI$2, $M$2:$M$124, "&gt;0")</f>
        <v>98580</v>
      </c>
      <c r="AJ9">
        <f ca="1">SUMIFS($M$2:$M$124, $B$2:$B$124, AJ$2, $M$2:$M$124, "&gt;0")</f>
        <v>14058</v>
      </c>
      <c r="AK9">
        <f ca="1">SUMIFS($M$2:$M$124, $B$2:$B$124, AK$2, $M$2:$M$124, "&gt;0")</f>
        <v>924</v>
      </c>
      <c r="AL9">
        <f ca="1">SUMIFS($M$2:$M$124, $B$2:$B$124, AL$2, $M$2:$M$124, "&gt;0")</f>
        <v>240</v>
      </c>
    </row>
    <row r="10" spans="1:38" x14ac:dyDescent="0.3">
      <c r="A10" t="s">
        <v>6</v>
      </c>
      <c r="B10" t="s">
        <v>10</v>
      </c>
      <c r="C10">
        <v>5</v>
      </c>
      <c r="D10" t="s">
        <v>146</v>
      </c>
      <c r="E10">
        <v>4</v>
      </c>
      <c r="F10">
        <v>0</v>
      </c>
      <c r="G10">
        <v>11</v>
      </c>
      <c r="H10">
        <v>0</v>
      </c>
      <c r="K10" s="3">
        <v>0</v>
      </c>
      <c r="L10">
        <f t="shared" ca="1" si="0"/>
        <v>30</v>
      </c>
      <c r="M10">
        <f t="shared" ca="1" si="1"/>
        <v>30</v>
      </c>
      <c r="N10">
        <f t="shared" si="2"/>
        <v>210000</v>
      </c>
      <c r="O10" cm="1">
        <f t="array" ref="O10">LEVEL_POSSIBLE($G10, $H10, $B10, $X$3:$AB$16, $X$2:$AB$2)</f>
        <v>11</v>
      </c>
      <c r="P10">
        <f t="shared" ca="1" si="3"/>
        <v>0</v>
      </c>
      <c r="Q10" cm="1">
        <f t="array" ref="Q10">CARDS_NEEDED($G10, $H10, $B10, $X$3:$AB$16, $X$2:$AB$2, $O10)</f>
        <v>2</v>
      </c>
      <c r="R10">
        <f t="shared" si="4"/>
        <v>50000</v>
      </c>
      <c r="S10">
        <f t="shared" si="5"/>
        <v>6</v>
      </c>
      <c r="T10">
        <f t="shared" si="6"/>
        <v>0</v>
      </c>
      <c r="W10">
        <v>8</v>
      </c>
      <c r="X10">
        <v>200</v>
      </c>
      <c r="Y10">
        <v>50</v>
      </c>
      <c r="Z10">
        <v>4</v>
      </c>
      <c r="AG10" t="s">
        <v>150</v>
      </c>
      <c r="AH10">
        <f ca="1">1 - AH$9/AH$8</f>
        <v>0</v>
      </c>
      <c r="AI10">
        <f ca="1">1 - AI$9/AI$8</f>
        <v>0</v>
      </c>
      <c r="AJ10">
        <f ca="1">1 - AJ$9/AJ$8</f>
        <v>0</v>
      </c>
      <c r="AK10">
        <f ca="1">1 - AK$9/AK$8</f>
        <v>0</v>
      </c>
      <c r="AL10">
        <f ca="1">1 - AL$9/AL$8</f>
        <v>0</v>
      </c>
    </row>
    <row r="11" spans="1:38" x14ac:dyDescent="0.3">
      <c r="A11" t="s">
        <v>35</v>
      </c>
      <c r="B11" t="s">
        <v>10</v>
      </c>
      <c r="C11">
        <v>6</v>
      </c>
      <c r="D11" t="s">
        <v>146</v>
      </c>
      <c r="E11">
        <v>4</v>
      </c>
      <c r="F11">
        <v>0</v>
      </c>
      <c r="G11">
        <v>11</v>
      </c>
      <c r="H11">
        <v>0</v>
      </c>
      <c r="K11" s="3">
        <v>0</v>
      </c>
      <c r="L11">
        <f t="shared" ca="1" si="0"/>
        <v>30</v>
      </c>
      <c r="M11">
        <f t="shared" ca="1" si="1"/>
        <v>30</v>
      </c>
      <c r="N11">
        <f t="shared" si="2"/>
        <v>210000</v>
      </c>
      <c r="O11" cm="1">
        <f t="array" ref="O11">LEVEL_POSSIBLE($G11, $H11, $B11, $X$3:$AB$16, $X$2:$AB$2)</f>
        <v>11</v>
      </c>
      <c r="P11">
        <f t="shared" ca="1" si="3"/>
        <v>0</v>
      </c>
      <c r="Q11" cm="1">
        <f t="array" ref="Q11">CARDS_NEEDED($G11, $H11, $B11, $X$3:$AB$16, $X$2:$AB$2, $O11)</f>
        <v>2</v>
      </c>
      <c r="R11">
        <f t="shared" si="4"/>
        <v>50000</v>
      </c>
      <c r="S11">
        <f t="shared" si="5"/>
        <v>6</v>
      </c>
      <c r="T11">
        <f t="shared" si="6"/>
        <v>0</v>
      </c>
      <c r="W11">
        <v>9</v>
      </c>
      <c r="X11">
        <v>400</v>
      </c>
      <c r="Y11">
        <v>100</v>
      </c>
      <c r="Z11">
        <v>10</v>
      </c>
      <c r="AA11">
        <v>0</v>
      </c>
      <c r="AI11"/>
    </row>
    <row r="12" spans="1:38" x14ac:dyDescent="0.3">
      <c r="A12" t="s">
        <v>36</v>
      </c>
      <c r="B12" t="s">
        <v>10</v>
      </c>
      <c r="C12">
        <v>7</v>
      </c>
      <c r="D12" t="s">
        <v>146</v>
      </c>
      <c r="E12">
        <v>4</v>
      </c>
      <c r="F12">
        <v>0</v>
      </c>
      <c r="G12">
        <v>11</v>
      </c>
      <c r="H12">
        <v>0</v>
      </c>
      <c r="K12" s="3">
        <v>0</v>
      </c>
      <c r="L12">
        <f t="shared" ca="1" si="0"/>
        <v>30</v>
      </c>
      <c r="M12">
        <f t="shared" ca="1" si="1"/>
        <v>30</v>
      </c>
      <c r="N12">
        <f t="shared" si="2"/>
        <v>210000</v>
      </c>
      <c r="O12" cm="1">
        <f t="array" ref="O12">LEVEL_POSSIBLE($G12, $H12, $B12, $X$3:$AB$16, $X$2:$AB$2)</f>
        <v>11</v>
      </c>
      <c r="P12">
        <f t="shared" ca="1" si="3"/>
        <v>0</v>
      </c>
      <c r="Q12" cm="1">
        <f t="array" ref="Q12">CARDS_NEEDED($G12, $H12, $B12, $X$3:$AB$16, $X$2:$AB$2, $O12)</f>
        <v>2</v>
      </c>
      <c r="R12">
        <f t="shared" si="4"/>
        <v>50000</v>
      </c>
      <c r="S12">
        <f t="shared" si="5"/>
        <v>6</v>
      </c>
      <c r="T12">
        <f t="shared" si="6"/>
        <v>0</v>
      </c>
      <c r="W12">
        <v>10</v>
      </c>
      <c r="X12">
        <v>800</v>
      </c>
      <c r="Y12">
        <v>200</v>
      </c>
      <c r="Z12">
        <v>20</v>
      </c>
      <c r="AA12">
        <v>2</v>
      </c>
      <c r="AI12"/>
    </row>
    <row r="13" spans="1:38" x14ac:dyDescent="0.3">
      <c r="A13" t="s">
        <v>31</v>
      </c>
      <c r="B13" t="s">
        <v>10</v>
      </c>
      <c r="C13">
        <v>8</v>
      </c>
      <c r="D13" t="s">
        <v>146</v>
      </c>
      <c r="E13">
        <v>3</v>
      </c>
      <c r="F13">
        <v>0</v>
      </c>
      <c r="G13">
        <v>11</v>
      </c>
      <c r="H13">
        <v>0</v>
      </c>
      <c r="K13" s="3">
        <v>0</v>
      </c>
      <c r="L13">
        <f t="shared" ca="1" si="0"/>
        <v>30</v>
      </c>
      <c r="M13">
        <f t="shared" ca="1" si="1"/>
        <v>30</v>
      </c>
      <c r="N13">
        <f t="shared" si="2"/>
        <v>210000</v>
      </c>
      <c r="O13" cm="1">
        <f t="array" ref="O13">LEVEL_POSSIBLE($G13, $H13, $B13, $X$3:$AB$16, $X$2:$AB$2)</f>
        <v>11</v>
      </c>
      <c r="P13">
        <f t="shared" ca="1" si="3"/>
        <v>0</v>
      </c>
      <c r="Q13" cm="1">
        <f t="array" ref="Q13">CARDS_NEEDED($G13, $H13, $B13, $X$3:$AB$16, $X$2:$AB$2, $O13)</f>
        <v>2</v>
      </c>
      <c r="R13">
        <f t="shared" si="4"/>
        <v>50000</v>
      </c>
      <c r="S13">
        <f t="shared" si="5"/>
        <v>6</v>
      </c>
      <c r="T13">
        <f t="shared" si="6"/>
        <v>0</v>
      </c>
      <c r="W13">
        <v>11</v>
      </c>
      <c r="X13">
        <v>1000</v>
      </c>
      <c r="Y13">
        <v>400</v>
      </c>
      <c r="Z13">
        <v>40</v>
      </c>
      <c r="AA13">
        <v>4</v>
      </c>
      <c r="AI13"/>
    </row>
    <row r="14" spans="1:38" x14ac:dyDescent="0.3">
      <c r="A14" t="s">
        <v>25</v>
      </c>
      <c r="B14" t="s">
        <v>26</v>
      </c>
      <c r="C14">
        <v>9</v>
      </c>
      <c r="D14" t="s">
        <v>146</v>
      </c>
      <c r="E14">
        <v>7</v>
      </c>
      <c r="F14">
        <v>2</v>
      </c>
      <c r="G14">
        <v>9</v>
      </c>
      <c r="H14">
        <v>0</v>
      </c>
      <c r="K14" s="3">
        <v>0</v>
      </c>
      <c r="L14">
        <f t="shared" ca="1" si="0"/>
        <v>42</v>
      </c>
      <c r="M14">
        <f t="shared" ca="1" si="1"/>
        <v>42</v>
      </c>
      <c r="N14">
        <f t="shared" si="2"/>
        <v>233000</v>
      </c>
      <c r="O14" cm="1">
        <f t="array" ref="O14">LEVEL_POSSIBLE($G14, $H14, $B14, $X$3:$AB$16, $X$2:$AB$2)</f>
        <v>9</v>
      </c>
      <c r="P14">
        <f t="shared" ca="1" si="3"/>
        <v>0</v>
      </c>
      <c r="Q14" cm="1">
        <f t="array" ref="Q14">CARDS_NEEDED($G14, $H14, $B14, $X$3:$AB$16, $X$2:$AB$2, $O14)</f>
        <v>2</v>
      </c>
      <c r="R14">
        <f t="shared" si="4"/>
        <v>50000</v>
      </c>
      <c r="S14">
        <f t="shared" si="5"/>
        <v>6</v>
      </c>
      <c r="T14">
        <f t="shared" si="6"/>
        <v>15000</v>
      </c>
      <c r="W14">
        <v>12</v>
      </c>
      <c r="X14">
        <v>1500</v>
      </c>
      <c r="Y14">
        <v>500</v>
      </c>
      <c r="Z14">
        <v>50</v>
      </c>
      <c r="AA14">
        <v>6</v>
      </c>
      <c r="AB14">
        <v>2</v>
      </c>
      <c r="AI14"/>
    </row>
    <row r="15" spans="1:38" x14ac:dyDescent="0.3">
      <c r="A15" t="s">
        <v>27</v>
      </c>
      <c r="B15" t="s">
        <v>26</v>
      </c>
      <c r="C15">
        <v>10</v>
      </c>
      <c r="D15" t="s">
        <v>147</v>
      </c>
      <c r="E15">
        <v>7</v>
      </c>
      <c r="F15">
        <v>2</v>
      </c>
      <c r="G15">
        <v>9</v>
      </c>
      <c r="H15">
        <v>0</v>
      </c>
      <c r="J15">
        <v>0</v>
      </c>
      <c r="K15" s="3">
        <v>0</v>
      </c>
      <c r="L15">
        <f t="shared" ca="1" si="0"/>
        <v>42</v>
      </c>
      <c r="M15">
        <f t="shared" ca="1" si="1"/>
        <v>42</v>
      </c>
      <c r="N15">
        <f t="shared" si="2"/>
        <v>233000</v>
      </c>
      <c r="O15" cm="1">
        <f t="array" ref="O15">LEVEL_POSSIBLE($G15, $H15, $B15, $X$3:$AB$16, $X$2:$AB$2)</f>
        <v>9</v>
      </c>
      <c r="P15">
        <f t="shared" ca="1" si="3"/>
        <v>0</v>
      </c>
      <c r="Q15" cm="1">
        <f t="array" ref="Q15">CARDS_NEEDED($G15, $H15, $B15, $X$3:$AB$16, $X$2:$AB$2, $O15)</f>
        <v>2</v>
      </c>
      <c r="R15">
        <f t="shared" si="4"/>
        <v>50000</v>
      </c>
      <c r="S15">
        <f t="shared" si="5"/>
        <v>6</v>
      </c>
      <c r="T15">
        <f t="shared" si="6"/>
        <v>15000</v>
      </c>
      <c r="W15">
        <v>13</v>
      </c>
      <c r="X15">
        <v>3000</v>
      </c>
      <c r="Y15">
        <v>750</v>
      </c>
      <c r="Z15">
        <v>100</v>
      </c>
      <c r="AA15">
        <v>10</v>
      </c>
      <c r="AB15">
        <v>8</v>
      </c>
      <c r="AI15"/>
    </row>
    <row r="16" spans="1:38" x14ac:dyDescent="0.3">
      <c r="A16" t="s">
        <v>58</v>
      </c>
      <c r="B16" t="s">
        <v>26</v>
      </c>
      <c r="C16">
        <v>11</v>
      </c>
      <c r="D16" t="s">
        <v>146</v>
      </c>
      <c r="E16">
        <v>6</v>
      </c>
      <c r="F16">
        <v>1</v>
      </c>
      <c r="G16">
        <v>9</v>
      </c>
      <c r="H16">
        <v>0</v>
      </c>
      <c r="K16" s="3">
        <v>0</v>
      </c>
      <c r="L16">
        <f t="shared" ca="1" si="0"/>
        <v>42</v>
      </c>
      <c r="M16">
        <f t="shared" ca="1" si="1"/>
        <v>42</v>
      </c>
      <c r="N16">
        <f t="shared" si="2"/>
        <v>233000</v>
      </c>
      <c r="O16" cm="1">
        <f t="array" ref="O16">LEVEL_POSSIBLE($G16, $H16, $B16, $X$3:$AB$16, $X$2:$AB$2)</f>
        <v>9</v>
      </c>
      <c r="P16">
        <f t="shared" ca="1" si="3"/>
        <v>0</v>
      </c>
      <c r="Q16" cm="1">
        <f t="array" ref="Q16">CARDS_NEEDED($G16, $H16, $B16, $X$3:$AB$16, $X$2:$AB$2, $O16)</f>
        <v>2</v>
      </c>
      <c r="R16">
        <f t="shared" si="4"/>
        <v>50000</v>
      </c>
      <c r="S16">
        <f t="shared" si="5"/>
        <v>6</v>
      </c>
      <c r="T16">
        <f t="shared" si="6"/>
        <v>5000</v>
      </c>
      <c r="W16">
        <v>14</v>
      </c>
      <c r="X16">
        <v>5000</v>
      </c>
      <c r="Y16">
        <v>1250</v>
      </c>
      <c r="Z16">
        <v>200</v>
      </c>
      <c r="AA16">
        <v>20</v>
      </c>
      <c r="AB16">
        <v>20</v>
      </c>
      <c r="AI16"/>
    </row>
    <row r="17" spans="1:35" x14ac:dyDescent="0.3">
      <c r="A17" t="s">
        <v>74</v>
      </c>
      <c r="B17" t="s">
        <v>26</v>
      </c>
      <c r="C17">
        <v>12</v>
      </c>
      <c r="D17" t="s">
        <v>146</v>
      </c>
      <c r="E17">
        <v>5</v>
      </c>
      <c r="F17">
        <v>1</v>
      </c>
      <c r="G17">
        <v>9</v>
      </c>
      <c r="H17">
        <v>0</v>
      </c>
      <c r="K17" s="3">
        <v>0</v>
      </c>
      <c r="L17">
        <f t="shared" ca="1" si="0"/>
        <v>42</v>
      </c>
      <c r="M17">
        <f t="shared" ca="1" si="1"/>
        <v>42</v>
      </c>
      <c r="N17">
        <f t="shared" si="2"/>
        <v>233000</v>
      </c>
      <c r="O17" cm="1">
        <f t="array" ref="O17">LEVEL_POSSIBLE($G17, $H17, $B17, $X$3:$AB$16, $X$2:$AB$2)</f>
        <v>9</v>
      </c>
      <c r="P17">
        <f t="shared" ca="1" si="3"/>
        <v>0</v>
      </c>
      <c r="Q17" cm="1">
        <f t="array" ref="Q17">CARDS_NEEDED($G17, $H17, $B17, $X$3:$AB$16, $X$2:$AB$2, $O17)</f>
        <v>2</v>
      </c>
      <c r="R17">
        <f t="shared" si="4"/>
        <v>50000</v>
      </c>
      <c r="S17">
        <f t="shared" si="5"/>
        <v>6</v>
      </c>
      <c r="T17">
        <f t="shared" si="6"/>
        <v>5000</v>
      </c>
      <c r="W17">
        <v>15</v>
      </c>
      <c r="X17">
        <v>0</v>
      </c>
      <c r="Y17">
        <v>0</v>
      </c>
      <c r="Z17">
        <v>0</v>
      </c>
      <c r="AA17">
        <v>0</v>
      </c>
      <c r="AB17">
        <v>0</v>
      </c>
      <c r="AI17"/>
    </row>
    <row r="18" spans="1:35" x14ac:dyDescent="0.3">
      <c r="A18" t="s">
        <v>33</v>
      </c>
      <c r="B18" t="s">
        <v>26</v>
      </c>
      <c r="C18">
        <v>13</v>
      </c>
      <c r="D18" t="s">
        <v>146</v>
      </c>
      <c r="E18">
        <v>5</v>
      </c>
      <c r="F18">
        <v>3</v>
      </c>
      <c r="G18">
        <v>9</v>
      </c>
      <c r="H18">
        <v>0</v>
      </c>
      <c r="K18" s="3">
        <v>0</v>
      </c>
      <c r="L18">
        <f t="shared" ca="1" si="0"/>
        <v>42</v>
      </c>
      <c r="M18">
        <f t="shared" ca="1" si="1"/>
        <v>42</v>
      </c>
      <c r="N18">
        <f t="shared" si="2"/>
        <v>233000</v>
      </c>
      <c r="O18" cm="1">
        <f t="array" ref="O18">LEVEL_POSSIBLE($G18, $H18, $B18, $X$3:$AB$16, $X$2:$AB$2)</f>
        <v>9</v>
      </c>
      <c r="P18">
        <f t="shared" ca="1" si="3"/>
        <v>0</v>
      </c>
      <c r="Q18" cm="1">
        <f t="array" ref="Q18">CARDS_NEEDED($G18, $H18, $B18, $X$3:$AB$16, $X$2:$AB$2, $O18)</f>
        <v>2</v>
      </c>
      <c r="R18">
        <f t="shared" si="4"/>
        <v>50000</v>
      </c>
      <c r="S18">
        <f t="shared" si="5"/>
        <v>6</v>
      </c>
      <c r="T18">
        <f t="shared" si="6"/>
        <v>30000</v>
      </c>
      <c r="AI18"/>
    </row>
    <row r="19" spans="1:35" x14ac:dyDescent="0.3">
      <c r="A19" t="s">
        <v>61</v>
      </c>
      <c r="B19" t="s">
        <v>26</v>
      </c>
      <c r="C19">
        <v>14</v>
      </c>
      <c r="D19" t="s">
        <v>146</v>
      </c>
      <c r="E19">
        <v>5</v>
      </c>
      <c r="F19">
        <v>1</v>
      </c>
      <c r="G19">
        <v>9</v>
      </c>
      <c r="H19">
        <v>0</v>
      </c>
      <c r="K19" s="3">
        <v>0</v>
      </c>
      <c r="L19">
        <f t="shared" ca="1" si="0"/>
        <v>42</v>
      </c>
      <c r="M19">
        <f t="shared" ca="1" si="1"/>
        <v>42</v>
      </c>
      <c r="N19">
        <f t="shared" si="2"/>
        <v>233000</v>
      </c>
      <c r="O19" cm="1">
        <f t="array" ref="O19">LEVEL_POSSIBLE($G19, $H19, $B19, $X$3:$AB$16, $X$2:$AB$2)</f>
        <v>9</v>
      </c>
      <c r="P19">
        <f t="shared" ca="1" si="3"/>
        <v>0</v>
      </c>
      <c r="Q19" cm="1">
        <f t="array" ref="Q19">CARDS_NEEDED($G19, $H19, $B19, $X$3:$AB$16, $X$2:$AB$2, $O19)</f>
        <v>2</v>
      </c>
      <c r="R19">
        <f t="shared" si="4"/>
        <v>50000</v>
      </c>
      <c r="S19">
        <f t="shared" si="5"/>
        <v>6</v>
      </c>
      <c r="T19">
        <f t="shared" si="6"/>
        <v>5000</v>
      </c>
      <c r="AI19"/>
    </row>
    <row r="20" spans="1:35" x14ac:dyDescent="0.3">
      <c r="A20" t="s">
        <v>138</v>
      </c>
      <c r="B20" t="s">
        <v>26</v>
      </c>
      <c r="C20">
        <v>15</v>
      </c>
      <c r="D20" t="s">
        <v>146</v>
      </c>
      <c r="E20">
        <v>4</v>
      </c>
      <c r="F20">
        <v>3</v>
      </c>
      <c r="G20">
        <v>9</v>
      </c>
      <c r="H20">
        <v>0</v>
      </c>
      <c r="K20" s="3">
        <v>0</v>
      </c>
      <c r="L20">
        <f t="shared" ca="1" si="0"/>
        <v>42</v>
      </c>
      <c r="M20">
        <f t="shared" ca="1" si="1"/>
        <v>42</v>
      </c>
      <c r="N20">
        <f t="shared" si="2"/>
        <v>233000</v>
      </c>
      <c r="O20" cm="1">
        <f t="array" ref="O20">LEVEL_POSSIBLE($G20, $H20, $B20, $X$3:$AB$16, $X$2:$AB$2)</f>
        <v>9</v>
      </c>
      <c r="P20">
        <f t="shared" ca="1" si="3"/>
        <v>0</v>
      </c>
      <c r="Q20" cm="1">
        <f t="array" ref="Q20">CARDS_NEEDED($G20, $H20, $B20, $X$3:$AB$16, $X$2:$AB$2, $O20)</f>
        <v>2</v>
      </c>
      <c r="R20">
        <f t="shared" si="4"/>
        <v>50000</v>
      </c>
      <c r="S20">
        <f t="shared" si="5"/>
        <v>6</v>
      </c>
      <c r="T20">
        <f t="shared" si="6"/>
        <v>30000</v>
      </c>
      <c r="AI20"/>
    </row>
    <row r="21" spans="1:35" x14ac:dyDescent="0.3">
      <c r="A21" t="s">
        <v>114</v>
      </c>
      <c r="B21" t="s">
        <v>26</v>
      </c>
      <c r="C21">
        <v>16</v>
      </c>
      <c r="D21" t="s">
        <v>146</v>
      </c>
      <c r="E21">
        <v>4</v>
      </c>
      <c r="F21">
        <v>2</v>
      </c>
      <c r="G21">
        <v>9</v>
      </c>
      <c r="H21">
        <v>0</v>
      </c>
      <c r="K21" s="3">
        <v>0</v>
      </c>
      <c r="L21">
        <f t="shared" ca="1" si="0"/>
        <v>42</v>
      </c>
      <c r="M21">
        <f t="shared" ca="1" si="1"/>
        <v>42</v>
      </c>
      <c r="N21">
        <f t="shared" si="2"/>
        <v>233000</v>
      </c>
      <c r="O21" cm="1">
        <f t="array" ref="O21">LEVEL_POSSIBLE($G21, $H21, $B21, $X$3:$AB$16, $X$2:$AB$2)</f>
        <v>9</v>
      </c>
      <c r="P21">
        <f t="shared" ca="1" si="3"/>
        <v>0</v>
      </c>
      <c r="Q21" cm="1">
        <f t="array" ref="Q21">CARDS_NEEDED($G21, $H21, $B21, $X$3:$AB$16, $X$2:$AB$2, $O21)</f>
        <v>2</v>
      </c>
      <c r="R21">
        <f t="shared" si="4"/>
        <v>50000</v>
      </c>
      <c r="S21">
        <f t="shared" si="5"/>
        <v>6</v>
      </c>
      <c r="T21">
        <f t="shared" si="6"/>
        <v>15000</v>
      </c>
      <c r="AI21"/>
    </row>
    <row r="22" spans="1:35" x14ac:dyDescent="0.3">
      <c r="A22" t="s">
        <v>102</v>
      </c>
      <c r="B22" t="s">
        <v>26</v>
      </c>
      <c r="C22">
        <v>17</v>
      </c>
      <c r="D22" t="s">
        <v>147</v>
      </c>
      <c r="E22">
        <v>4</v>
      </c>
      <c r="F22">
        <v>1</v>
      </c>
      <c r="G22">
        <v>9</v>
      </c>
      <c r="H22">
        <v>0</v>
      </c>
      <c r="J22">
        <v>0</v>
      </c>
      <c r="K22" s="3">
        <v>0</v>
      </c>
      <c r="L22">
        <f t="shared" ca="1" si="0"/>
        <v>42</v>
      </c>
      <c r="M22">
        <f t="shared" ca="1" si="1"/>
        <v>42</v>
      </c>
      <c r="N22">
        <f t="shared" si="2"/>
        <v>233000</v>
      </c>
      <c r="O22" cm="1">
        <f t="array" ref="O22">LEVEL_POSSIBLE($G22, $H22, $B22, $X$3:$AB$16, $X$2:$AB$2)</f>
        <v>9</v>
      </c>
      <c r="P22">
        <f t="shared" ca="1" si="3"/>
        <v>0</v>
      </c>
      <c r="Q22" cm="1">
        <f t="array" ref="Q22">CARDS_NEEDED($G22, $H22, $B22, $X$3:$AB$16, $X$2:$AB$2, $O22)</f>
        <v>2</v>
      </c>
      <c r="R22">
        <f t="shared" si="4"/>
        <v>50000</v>
      </c>
      <c r="S22">
        <f t="shared" si="5"/>
        <v>6</v>
      </c>
      <c r="T22">
        <f t="shared" si="6"/>
        <v>5000</v>
      </c>
      <c r="AI22"/>
    </row>
    <row r="23" spans="1:35" x14ac:dyDescent="0.3">
      <c r="A23" t="s">
        <v>45</v>
      </c>
      <c r="B23" t="s">
        <v>26</v>
      </c>
      <c r="C23">
        <v>18</v>
      </c>
      <c r="D23" t="s">
        <v>146</v>
      </c>
      <c r="E23">
        <v>4</v>
      </c>
      <c r="F23">
        <v>3</v>
      </c>
      <c r="G23">
        <v>9</v>
      </c>
      <c r="H23">
        <v>0</v>
      </c>
      <c r="K23" s="3">
        <v>0</v>
      </c>
      <c r="L23">
        <f t="shared" ca="1" si="0"/>
        <v>42</v>
      </c>
      <c r="M23">
        <f t="shared" ca="1" si="1"/>
        <v>42</v>
      </c>
      <c r="N23">
        <f t="shared" si="2"/>
        <v>233000</v>
      </c>
      <c r="O23" cm="1">
        <f t="array" ref="O23">LEVEL_POSSIBLE($G23, $H23, $B23, $X$3:$AB$16, $X$2:$AB$2)</f>
        <v>9</v>
      </c>
      <c r="P23">
        <f t="shared" ca="1" si="3"/>
        <v>0</v>
      </c>
      <c r="Q23" cm="1">
        <f t="array" ref="Q23">CARDS_NEEDED($G23, $H23, $B23, $X$3:$AB$16, $X$2:$AB$2, $O23)</f>
        <v>2</v>
      </c>
      <c r="R23">
        <f t="shared" si="4"/>
        <v>50000</v>
      </c>
      <c r="S23">
        <f t="shared" si="5"/>
        <v>6</v>
      </c>
      <c r="T23">
        <f t="shared" si="6"/>
        <v>30000</v>
      </c>
      <c r="AI23"/>
    </row>
    <row r="24" spans="1:35" x14ac:dyDescent="0.3">
      <c r="A24" t="s">
        <v>57</v>
      </c>
      <c r="B24" t="s">
        <v>26</v>
      </c>
      <c r="C24">
        <v>19</v>
      </c>
      <c r="D24" t="s">
        <v>146</v>
      </c>
      <c r="E24">
        <v>4</v>
      </c>
      <c r="F24">
        <v>1</v>
      </c>
      <c r="G24">
        <v>9</v>
      </c>
      <c r="H24">
        <v>0</v>
      </c>
      <c r="K24" s="3">
        <v>0</v>
      </c>
      <c r="L24">
        <f t="shared" ca="1" si="0"/>
        <v>42</v>
      </c>
      <c r="M24">
        <f t="shared" ca="1" si="1"/>
        <v>42</v>
      </c>
      <c r="N24">
        <f t="shared" si="2"/>
        <v>233000</v>
      </c>
      <c r="O24" cm="1">
        <f t="array" ref="O24">LEVEL_POSSIBLE($G24, $H24, $B24, $X$3:$AB$16, $X$2:$AB$2)</f>
        <v>9</v>
      </c>
      <c r="P24">
        <f t="shared" ca="1" si="3"/>
        <v>0</v>
      </c>
      <c r="Q24" cm="1">
        <f t="array" ref="Q24">CARDS_NEEDED($G24, $H24, $B24, $X$3:$AB$16, $X$2:$AB$2, $O24)</f>
        <v>2</v>
      </c>
      <c r="R24">
        <f t="shared" si="4"/>
        <v>50000</v>
      </c>
      <c r="S24">
        <f t="shared" si="5"/>
        <v>6</v>
      </c>
      <c r="T24">
        <f t="shared" si="6"/>
        <v>5000</v>
      </c>
      <c r="AI24"/>
    </row>
    <row r="25" spans="1:35" x14ac:dyDescent="0.3">
      <c r="A25" t="s">
        <v>113</v>
      </c>
      <c r="B25" t="s">
        <v>26</v>
      </c>
      <c r="C25">
        <v>20</v>
      </c>
      <c r="D25" t="s">
        <v>146</v>
      </c>
      <c r="E25">
        <v>4</v>
      </c>
      <c r="F25">
        <v>1</v>
      </c>
      <c r="G25">
        <v>9</v>
      </c>
      <c r="H25">
        <v>0</v>
      </c>
      <c r="K25" s="3">
        <v>0</v>
      </c>
      <c r="L25">
        <f t="shared" ca="1" si="0"/>
        <v>42</v>
      </c>
      <c r="M25">
        <f t="shared" ca="1" si="1"/>
        <v>42</v>
      </c>
      <c r="N25">
        <f t="shared" si="2"/>
        <v>233000</v>
      </c>
      <c r="O25" cm="1">
        <f t="array" ref="O25">LEVEL_POSSIBLE($G25, $H25, $B25, $X$3:$AB$16, $X$2:$AB$2)</f>
        <v>9</v>
      </c>
      <c r="P25">
        <f t="shared" ca="1" si="3"/>
        <v>0</v>
      </c>
      <c r="Q25" cm="1">
        <f t="array" ref="Q25">CARDS_NEEDED($G25, $H25, $B25, $X$3:$AB$16, $X$2:$AB$2, $O25)</f>
        <v>2</v>
      </c>
      <c r="R25">
        <f t="shared" si="4"/>
        <v>50000</v>
      </c>
      <c r="S25">
        <f t="shared" si="5"/>
        <v>6</v>
      </c>
      <c r="T25">
        <f t="shared" si="6"/>
        <v>5000</v>
      </c>
      <c r="AI25"/>
    </row>
    <row r="26" spans="1:35" x14ac:dyDescent="0.3">
      <c r="A26" t="s">
        <v>32</v>
      </c>
      <c r="B26" t="s">
        <v>26</v>
      </c>
      <c r="C26">
        <v>21</v>
      </c>
      <c r="D26" t="s">
        <v>146</v>
      </c>
      <c r="E26">
        <v>4</v>
      </c>
      <c r="F26">
        <v>3</v>
      </c>
      <c r="G26">
        <v>9</v>
      </c>
      <c r="H26">
        <v>0</v>
      </c>
      <c r="K26" s="3">
        <v>0</v>
      </c>
      <c r="L26">
        <f t="shared" ca="1" si="0"/>
        <v>42</v>
      </c>
      <c r="M26">
        <f t="shared" ca="1" si="1"/>
        <v>42</v>
      </c>
      <c r="N26">
        <f t="shared" si="2"/>
        <v>233000</v>
      </c>
      <c r="O26" cm="1">
        <f t="array" ref="O26">LEVEL_POSSIBLE($G26, $H26, $B26, $X$3:$AB$16, $X$2:$AB$2)</f>
        <v>9</v>
      </c>
      <c r="P26">
        <f t="shared" ca="1" si="3"/>
        <v>0</v>
      </c>
      <c r="Q26" cm="1">
        <f t="array" ref="Q26">CARDS_NEEDED($G26, $H26, $B26, $X$3:$AB$16, $X$2:$AB$2, $O26)</f>
        <v>2</v>
      </c>
      <c r="R26">
        <f t="shared" si="4"/>
        <v>50000</v>
      </c>
      <c r="S26">
        <f t="shared" si="5"/>
        <v>6</v>
      </c>
      <c r="T26">
        <f t="shared" si="6"/>
        <v>30000</v>
      </c>
      <c r="W26" s="4" t="s">
        <v>132</v>
      </c>
      <c r="X26" s="4"/>
      <c r="AI26"/>
    </row>
    <row r="27" spans="1:35" x14ac:dyDescent="0.3">
      <c r="A27" t="s">
        <v>41</v>
      </c>
      <c r="B27" t="s">
        <v>26</v>
      </c>
      <c r="C27">
        <v>22</v>
      </c>
      <c r="D27" t="s">
        <v>146</v>
      </c>
      <c r="E27">
        <v>3</v>
      </c>
      <c r="F27">
        <v>1</v>
      </c>
      <c r="G27">
        <v>9</v>
      </c>
      <c r="H27">
        <v>0</v>
      </c>
      <c r="K27" s="3">
        <v>0</v>
      </c>
      <c r="L27">
        <f t="shared" ca="1" si="0"/>
        <v>42</v>
      </c>
      <c r="M27">
        <f t="shared" ca="1" si="1"/>
        <v>42</v>
      </c>
      <c r="N27">
        <f t="shared" si="2"/>
        <v>233000</v>
      </c>
      <c r="O27" cm="1">
        <f t="array" ref="O27">LEVEL_POSSIBLE($G27, $H27, $B27, $X$3:$AB$16, $X$2:$AB$2)</f>
        <v>9</v>
      </c>
      <c r="P27">
        <f t="shared" ca="1" si="3"/>
        <v>0</v>
      </c>
      <c r="Q27" cm="1">
        <f t="array" ref="Q27">CARDS_NEEDED($G27, $H27, $B27, $X$3:$AB$16, $X$2:$AB$2, $O27)</f>
        <v>2</v>
      </c>
      <c r="R27">
        <f t="shared" si="4"/>
        <v>50000</v>
      </c>
      <c r="S27">
        <f t="shared" si="5"/>
        <v>6</v>
      </c>
      <c r="T27">
        <f t="shared" si="6"/>
        <v>5000</v>
      </c>
      <c r="W27" t="s">
        <v>0</v>
      </c>
      <c r="X27" t="s">
        <v>133</v>
      </c>
      <c r="AI27"/>
    </row>
    <row r="28" spans="1:35" x14ac:dyDescent="0.3">
      <c r="A28" t="s">
        <v>44</v>
      </c>
      <c r="B28" t="s">
        <v>26</v>
      </c>
      <c r="C28">
        <v>23</v>
      </c>
      <c r="D28" t="s">
        <v>146</v>
      </c>
      <c r="E28">
        <v>3</v>
      </c>
      <c r="F28">
        <v>1</v>
      </c>
      <c r="G28">
        <v>9</v>
      </c>
      <c r="H28">
        <v>0</v>
      </c>
      <c r="K28" s="3">
        <v>0</v>
      </c>
      <c r="L28">
        <f t="shared" ca="1" si="0"/>
        <v>42</v>
      </c>
      <c r="M28">
        <f t="shared" ca="1" si="1"/>
        <v>42</v>
      </c>
      <c r="N28">
        <f t="shared" si="2"/>
        <v>233000</v>
      </c>
      <c r="O28" cm="1">
        <f t="array" ref="O28">LEVEL_POSSIBLE($G28, $H28, $B28, $X$3:$AB$16, $X$2:$AB$2)</f>
        <v>9</v>
      </c>
      <c r="P28">
        <f t="shared" ca="1" si="3"/>
        <v>0</v>
      </c>
      <c r="Q28" cm="1">
        <f t="array" ref="Q28">CARDS_NEEDED($G28, $H28, $B28, $X$3:$AB$16, $X$2:$AB$2, $O28)</f>
        <v>2</v>
      </c>
      <c r="R28">
        <f t="shared" si="4"/>
        <v>50000</v>
      </c>
      <c r="S28">
        <f t="shared" si="5"/>
        <v>6</v>
      </c>
      <c r="T28">
        <f t="shared" si="6"/>
        <v>5000</v>
      </c>
      <c r="W28">
        <v>1</v>
      </c>
      <c r="X28">
        <v>0</v>
      </c>
      <c r="AG28" s="4" t="s">
        <v>151</v>
      </c>
      <c r="AH28" s="4"/>
      <c r="AI28" s="4"/>
    </row>
    <row r="29" spans="1:35" x14ac:dyDescent="0.3">
      <c r="A29" t="s">
        <v>40</v>
      </c>
      <c r="B29" t="s">
        <v>26</v>
      </c>
      <c r="C29">
        <v>24</v>
      </c>
      <c r="D29" t="s">
        <v>146</v>
      </c>
      <c r="E29">
        <v>3</v>
      </c>
      <c r="F29">
        <v>1</v>
      </c>
      <c r="G29">
        <v>9</v>
      </c>
      <c r="H29">
        <v>0</v>
      </c>
      <c r="K29" s="3">
        <v>0</v>
      </c>
      <c r="L29">
        <f t="shared" ca="1" si="0"/>
        <v>42</v>
      </c>
      <c r="M29">
        <f t="shared" ca="1" si="1"/>
        <v>42</v>
      </c>
      <c r="N29">
        <f t="shared" si="2"/>
        <v>233000</v>
      </c>
      <c r="O29" cm="1">
        <f t="array" ref="O29">LEVEL_POSSIBLE($G29, $H29, $B29, $X$3:$AB$16, $X$2:$AB$2)</f>
        <v>9</v>
      </c>
      <c r="P29">
        <f t="shared" ca="1" si="3"/>
        <v>0</v>
      </c>
      <c r="Q29" cm="1">
        <f t="array" ref="Q29">CARDS_NEEDED($G29, $H29, $B29, $X$3:$AB$16, $X$2:$AB$2, $O29)</f>
        <v>2</v>
      </c>
      <c r="R29">
        <f t="shared" si="4"/>
        <v>50000</v>
      </c>
      <c r="S29">
        <f t="shared" si="5"/>
        <v>6</v>
      </c>
      <c r="T29">
        <f t="shared" si="6"/>
        <v>5000</v>
      </c>
      <c r="W29">
        <v>2</v>
      </c>
      <c r="X29">
        <v>5</v>
      </c>
      <c r="AH29" t="s">
        <v>155</v>
      </c>
      <c r="AI29" t="s">
        <v>156</v>
      </c>
    </row>
    <row r="30" spans="1:35" x14ac:dyDescent="0.3">
      <c r="A30" t="s">
        <v>60</v>
      </c>
      <c r="B30" t="s">
        <v>26</v>
      </c>
      <c r="C30">
        <v>25</v>
      </c>
      <c r="D30" t="s">
        <v>146</v>
      </c>
      <c r="E30">
        <v>3</v>
      </c>
      <c r="F30">
        <v>2</v>
      </c>
      <c r="G30">
        <v>9</v>
      </c>
      <c r="H30">
        <v>0</v>
      </c>
      <c r="K30" s="3">
        <v>0</v>
      </c>
      <c r="L30">
        <f t="shared" ca="1" si="0"/>
        <v>42</v>
      </c>
      <c r="M30">
        <f t="shared" ca="1" si="1"/>
        <v>42</v>
      </c>
      <c r="N30">
        <f t="shared" si="2"/>
        <v>233000</v>
      </c>
      <c r="O30" cm="1">
        <f t="array" ref="O30">LEVEL_POSSIBLE($G30, $H30, $B30, $X$3:$AB$16, $X$2:$AB$2)</f>
        <v>9</v>
      </c>
      <c r="P30">
        <f t="shared" ca="1" si="3"/>
        <v>0</v>
      </c>
      <c r="Q30" cm="1">
        <f t="array" ref="Q30">CARDS_NEEDED($G30, $H30, $B30, $X$3:$AB$16, $X$2:$AB$2, $O30)</f>
        <v>2</v>
      </c>
      <c r="R30">
        <f t="shared" si="4"/>
        <v>50000</v>
      </c>
      <c r="S30">
        <f t="shared" si="5"/>
        <v>6</v>
      </c>
      <c r="T30">
        <f t="shared" si="6"/>
        <v>15000</v>
      </c>
      <c r="W30">
        <v>3</v>
      </c>
      <c r="X30">
        <v>20</v>
      </c>
      <c r="AG30" t="s">
        <v>152</v>
      </c>
      <c r="AH30">
        <f>COUNTIF($D$2:$D$124, "Y")</f>
        <v>31</v>
      </c>
      <c r="AI30"/>
    </row>
    <row r="31" spans="1:35" x14ac:dyDescent="0.3">
      <c r="A31" t="s">
        <v>42</v>
      </c>
      <c r="B31" t="s">
        <v>26</v>
      </c>
      <c r="C31">
        <v>26</v>
      </c>
      <c r="D31" t="s">
        <v>146</v>
      </c>
      <c r="E31">
        <v>3</v>
      </c>
      <c r="F31">
        <v>1</v>
      </c>
      <c r="G31">
        <v>9</v>
      </c>
      <c r="H31">
        <v>0</v>
      </c>
      <c r="K31" s="3">
        <v>0</v>
      </c>
      <c r="L31">
        <f t="shared" ca="1" si="0"/>
        <v>42</v>
      </c>
      <c r="M31">
        <f t="shared" ca="1" si="1"/>
        <v>42</v>
      </c>
      <c r="N31">
        <f t="shared" si="2"/>
        <v>233000</v>
      </c>
      <c r="O31" cm="1">
        <f t="array" ref="O31">LEVEL_POSSIBLE($G31, $H31, $B31, $X$3:$AB$16, $X$2:$AB$2)</f>
        <v>9</v>
      </c>
      <c r="P31">
        <f t="shared" ca="1" si="3"/>
        <v>0</v>
      </c>
      <c r="Q31" cm="1">
        <f t="array" ref="Q31">CARDS_NEEDED($G31, $H31, $B31, $X$3:$AB$16, $X$2:$AB$2, $O31)</f>
        <v>2</v>
      </c>
      <c r="R31">
        <f t="shared" si="4"/>
        <v>50000</v>
      </c>
      <c r="S31">
        <f t="shared" si="5"/>
        <v>6</v>
      </c>
      <c r="T31">
        <f t="shared" si="6"/>
        <v>5000</v>
      </c>
      <c r="W31">
        <v>4</v>
      </c>
      <c r="X31">
        <v>50</v>
      </c>
      <c r="AG31" t="s">
        <v>158</v>
      </c>
      <c r="AH31">
        <f>SUM($J$2:$J$124)</f>
        <v>0</v>
      </c>
      <c r="AI31">
        <f>AH31/(AH30*6)</f>
        <v>0</v>
      </c>
    </row>
    <row r="32" spans="1:35" x14ac:dyDescent="0.3">
      <c r="A32" t="s">
        <v>59</v>
      </c>
      <c r="B32" t="s">
        <v>26</v>
      </c>
      <c r="C32">
        <v>27</v>
      </c>
      <c r="D32" t="s">
        <v>146</v>
      </c>
      <c r="E32">
        <v>3</v>
      </c>
      <c r="F32">
        <v>1</v>
      </c>
      <c r="G32">
        <v>9</v>
      </c>
      <c r="H32">
        <v>0</v>
      </c>
      <c r="K32" s="3">
        <v>0</v>
      </c>
      <c r="L32">
        <f t="shared" ca="1" si="0"/>
        <v>42</v>
      </c>
      <c r="M32">
        <f t="shared" ca="1" si="1"/>
        <v>42</v>
      </c>
      <c r="N32">
        <f t="shared" si="2"/>
        <v>233000</v>
      </c>
      <c r="O32" cm="1">
        <f t="array" ref="O32">LEVEL_POSSIBLE($G32, $H32, $B32, $X$3:$AB$16, $X$2:$AB$2)</f>
        <v>9</v>
      </c>
      <c r="P32">
        <f t="shared" ca="1" si="3"/>
        <v>0</v>
      </c>
      <c r="Q32" cm="1">
        <f t="array" ref="Q32">CARDS_NEEDED($G32, $H32, $B32, $X$3:$AB$16, $X$2:$AB$2, $O32)</f>
        <v>2</v>
      </c>
      <c r="R32">
        <f t="shared" si="4"/>
        <v>50000</v>
      </c>
      <c r="S32">
        <f t="shared" si="5"/>
        <v>6</v>
      </c>
      <c r="T32">
        <f t="shared" si="6"/>
        <v>5000</v>
      </c>
      <c r="W32">
        <v>5</v>
      </c>
      <c r="X32">
        <v>150</v>
      </c>
      <c r="AG32" t="s">
        <v>157</v>
      </c>
      <c r="AH32">
        <f>AH30*6-AH31</f>
        <v>186</v>
      </c>
      <c r="AI32">
        <f>1-AI31</f>
        <v>1</v>
      </c>
    </row>
    <row r="33" spans="1:35" x14ac:dyDescent="0.3">
      <c r="A33" t="s">
        <v>103</v>
      </c>
      <c r="B33" t="s">
        <v>26</v>
      </c>
      <c r="C33">
        <v>28</v>
      </c>
      <c r="D33" t="s">
        <v>146</v>
      </c>
      <c r="E33">
        <v>2</v>
      </c>
      <c r="F33">
        <v>1</v>
      </c>
      <c r="G33">
        <v>9</v>
      </c>
      <c r="H33">
        <v>0</v>
      </c>
      <c r="K33" s="3">
        <v>0</v>
      </c>
      <c r="L33">
        <f t="shared" ca="1" si="0"/>
        <v>42</v>
      </c>
      <c r="M33">
        <f t="shared" ca="1" si="1"/>
        <v>42</v>
      </c>
      <c r="N33">
        <f t="shared" si="2"/>
        <v>233000</v>
      </c>
      <c r="O33" cm="1">
        <f t="array" ref="O33">LEVEL_POSSIBLE($G33, $H33, $B33, $X$3:$AB$16, $X$2:$AB$2)</f>
        <v>9</v>
      </c>
      <c r="P33">
        <f t="shared" ca="1" si="3"/>
        <v>0</v>
      </c>
      <c r="Q33" cm="1">
        <f t="array" ref="Q33">CARDS_NEEDED($G33, $H33, $B33, $X$3:$AB$16, $X$2:$AB$2, $O33)</f>
        <v>2</v>
      </c>
      <c r="R33">
        <f t="shared" si="4"/>
        <v>50000</v>
      </c>
      <c r="S33">
        <f t="shared" si="5"/>
        <v>6</v>
      </c>
      <c r="T33">
        <f t="shared" si="6"/>
        <v>5000</v>
      </c>
      <c r="W33">
        <v>6</v>
      </c>
      <c r="X33">
        <v>400</v>
      </c>
      <c r="AG33" t="s">
        <v>153</v>
      </c>
      <c r="AH33">
        <f>COUNTIF($J$2:$J$124, 6)</f>
        <v>0</v>
      </c>
      <c r="AI33">
        <f>AH33/AH30</f>
        <v>0</v>
      </c>
    </row>
    <row r="34" spans="1:35" x14ac:dyDescent="0.3">
      <c r="A34" t="s">
        <v>115</v>
      </c>
      <c r="B34" t="s">
        <v>9</v>
      </c>
      <c r="C34">
        <v>29</v>
      </c>
      <c r="D34" t="s">
        <v>146</v>
      </c>
      <c r="E34">
        <v>8</v>
      </c>
      <c r="F34">
        <v>2</v>
      </c>
      <c r="G34">
        <v>6</v>
      </c>
      <c r="H34">
        <v>0</v>
      </c>
      <c r="K34" s="3">
        <v>0</v>
      </c>
      <c r="L34">
        <f t="shared" ref="L34:L65" ca="1" si="9">SUM(OFFSET($X$3:$X$17, $G34, MATCH($B34, $X$2:$AB$2, 0) - 1, 16 - $G34, 1))</f>
        <v>426</v>
      </c>
      <c r="M34">
        <f t="shared" ref="M34:M65" ca="1" si="10">$L34-$H34</f>
        <v>426</v>
      </c>
      <c r="N34">
        <f t="shared" ref="N34:N65" si="11">SUMIFS($X$29:$X$41, $W$29:$W$41, "&gt;" &amp; $G34)</f>
        <v>240000</v>
      </c>
      <c r="O34" cm="1">
        <f t="array" ref="O34">LEVEL_POSSIBLE($G34, $H34, $B34, $X$3:$AB$16, $X$2:$AB$2)</f>
        <v>6</v>
      </c>
      <c r="P34">
        <f t="shared" ref="P34:P65" ca="1" si="12">IFERROR(SUM(OFFSET($X$28:$X$41,$G34,0,$O34 - $G34,1)),0)</f>
        <v>0</v>
      </c>
      <c r="Q34" cm="1">
        <f t="array" ref="Q34">CARDS_NEEDED($G34, $H34, $B34, $X$3:$AB$16, $X$2:$AB$2, $O34)</f>
        <v>2</v>
      </c>
      <c r="R34">
        <f t="shared" ref="R34:R65" si="13">IF(G34=15,0,50000-$I34)</f>
        <v>50000</v>
      </c>
      <c r="S34">
        <f t="shared" ref="S34:S65" si="14">6-J34</f>
        <v>6</v>
      </c>
      <c r="T34">
        <f t="shared" ref="T34:T65" si="15">SUMIFS($X$45:$X$47, $W$45:$W$47, "&gt;"&amp;K34, $W$45:$W$47, "&lt;="&amp;F34)</f>
        <v>15000</v>
      </c>
      <c r="W34">
        <v>7</v>
      </c>
      <c r="X34">
        <v>1000</v>
      </c>
      <c r="AG34" t="s">
        <v>154</v>
      </c>
      <c r="AH34">
        <f>AH30-AH33</f>
        <v>31</v>
      </c>
      <c r="AI34">
        <f>1-AI33</f>
        <v>1</v>
      </c>
    </row>
    <row r="35" spans="1:35" x14ac:dyDescent="0.3">
      <c r="A35" t="s">
        <v>112</v>
      </c>
      <c r="B35" t="s">
        <v>9</v>
      </c>
      <c r="C35">
        <v>30</v>
      </c>
      <c r="D35" t="s">
        <v>146</v>
      </c>
      <c r="E35">
        <v>7</v>
      </c>
      <c r="F35">
        <v>1</v>
      </c>
      <c r="G35">
        <v>6</v>
      </c>
      <c r="H35">
        <v>0</v>
      </c>
      <c r="K35" s="3">
        <v>0</v>
      </c>
      <c r="L35">
        <f t="shared" ca="1" si="9"/>
        <v>426</v>
      </c>
      <c r="M35">
        <f t="shared" ca="1" si="10"/>
        <v>426</v>
      </c>
      <c r="N35">
        <f t="shared" si="11"/>
        <v>240000</v>
      </c>
      <c r="O35" cm="1">
        <f t="array" ref="O35">LEVEL_POSSIBLE($G35, $H35, $B35, $X$3:$AB$16, $X$2:$AB$2)</f>
        <v>6</v>
      </c>
      <c r="P35">
        <f t="shared" ca="1" si="12"/>
        <v>0</v>
      </c>
      <c r="Q35" cm="1">
        <f t="array" ref="Q35">CARDS_NEEDED($G35, $H35, $B35, $X$3:$AB$16, $X$2:$AB$2, $O35)</f>
        <v>2</v>
      </c>
      <c r="R35">
        <f t="shared" si="13"/>
        <v>50000</v>
      </c>
      <c r="S35">
        <f t="shared" si="14"/>
        <v>6</v>
      </c>
      <c r="T35">
        <f t="shared" si="15"/>
        <v>5000</v>
      </c>
      <c r="W35">
        <v>8</v>
      </c>
      <c r="X35">
        <v>2000</v>
      </c>
      <c r="AI35"/>
    </row>
    <row r="36" spans="1:35" x14ac:dyDescent="0.3">
      <c r="A36" t="s">
        <v>168</v>
      </c>
      <c r="B36" t="s">
        <v>9</v>
      </c>
      <c r="C36">
        <v>31</v>
      </c>
      <c r="D36" t="s">
        <v>147</v>
      </c>
      <c r="E36">
        <v>7</v>
      </c>
      <c r="F36">
        <v>2</v>
      </c>
      <c r="G36">
        <v>6</v>
      </c>
      <c r="H36">
        <v>0</v>
      </c>
      <c r="J36">
        <v>0</v>
      </c>
      <c r="K36" s="3">
        <v>0</v>
      </c>
      <c r="L36">
        <f t="shared" ca="1" si="9"/>
        <v>426</v>
      </c>
      <c r="M36">
        <f t="shared" ca="1" si="10"/>
        <v>426</v>
      </c>
      <c r="N36">
        <f t="shared" si="11"/>
        <v>240000</v>
      </c>
      <c r="O36" cm="1">
        <f t="array" ref="O36">LEVEL_POSSIBLE($G36, $H36, $B36, $X$3:$AB$16, $X$2:$AB$2)</f>
        <v>6</v>
      </c>
      <c r="P36">
        <f t="shared" ca="1" si="12"/>
        <v>0</v>
      </c>
      <c r="Q36" cm="1">
        <f t="array" ref="Q36">CARDS_NEEDED($G36, $H36, $B36, $X$3:$AB$16, $X$2:$AB$2, $O36)</f>
        <v>2</v>
      </c>
      <c r="R36">
        <f t="shared" si="13"/>
        <v>50000</v>
      </c>
      <c r="S36">
        <f t="shared" si="14"/>
        <v>6</v>
      </c>
      <c r="T36">
        <f t="shared" si="15"/>
        <v>15000</v>
      </c>
      <c r="W36">
        <v>9</v>
      </c>
      <c r="X36">
        <v>4000</v>
      </c>
      <c r="AI36"/>
    </row>
    <row r="37" spans="1:35" x14ac:dyDescent="0.3">
      <c r="A37" t="s">
        <v>21</v>
      </c>
      <c r="B37" t="s">
        <v>9</v>
      </c>
      <c r="C37">
        <v>32</v>
      </c>
      <c r="D37" t="s">
        <v>146</v>
      </c>
      <c r="E37">
        <v>6</v>
      </c>
      <c r="F37">
        <v>3</v>
      </c>
      <c r="G37">
        <v>6</v>
      </c>
      <c r="H37">
        <v>0</v>
      </c>
      <c r="K37" s="3">
        <v>0</v>
      </c>
      <c r="L37">
        <f t="shared" ca="1" si="9"/>
        <v>426</v>
      </c>
      <c r="M37">
        <f t="shared" ca="1" si="10"/>
        <v>426</v>
      </c>
      <c r="N37">
        <f t="shared" si="11"/>
        <v>240000</v>
      </c>
      <c r="O37" cm="1">
        <f t="array" ref="O37">LEVEL_POSSIBLE($G37, $H37, $B37, $X$3:$AB$16, $X$2:$AB$2)</f>
        <v>6</v>
      </c>
      <c r="P37">
        <f t="shared" ca="1" si="12"/>
        <v>0</v>
      </c>
      <c r="Q37" cm="1">
        <f t="array" ref="Q37">CARDS_NEEDED($G37, $H37, $B37, $X$3:$AB$16, $X$2:$AB$2, $O37)</f>
        <v>2</v>
      </c>
      <c r="R37">
        <f t="shared" si="13"/>
        <v>50000</v>
      </c>
      <c r="S37">
        <f t="shared" si="14"/>
        <v>6</v>
      </c>
      <c r="T37">
        <f t="shared" si="15"/>
        <v>30000</v>
      </c>
      <c r="W37">
        <v>10</v>
      </c>
      <c r="X37">
        <v>8000</v>
      </c>
      <c r="AI37"/>
    </row>
    <row r="38" spans="1:35" x14ac:dyDescent="0.3">
      <c r="A38" t="s">
        <v>69</v>
      </c>
      <c r="B38" t="s">
        <v>9</v>
      </c>
      <c r="C38">
        <v>33</v>
      </c>
      <c r="D38" t="s">
        <v>146</v>
      </c>
      <c r="E38">
        <v>6</v>
      </c>
      <c r="F38">
        <v>1</v>
      </c>
      <c r="G38">
        <v>6</v>
      </c>
      <c r="H38">
        <v>0</v>
      </c>
      <c r="K38" s="3">
        <v>0</v>
      </c>
      <c r="L38">
        <f t="shared" ca="1" si="9"/>
        <v>426</v>
      </c>
      <c r="M38">
        <f t="shared" ca="1" si="10"/>
        <v>426</v>
      </c>
      <c r="N38">
        <f t="shared" si="11"/>
        <v>240000</v>
      </c>
      <c r="O38" cm="1">
        <f t="array" ref="O38">LEVEL_POSSIBLE($G38, $H38, $B38, $X$3:$AB$16, $X$2:$AB$2)</f>
        <v>6</v>
      </c>
      <c r="P38">
        <f t="shared" ca="1" si="12"/>
        <v>0</v>
      </c>
      <c r="Q38" cm="1">
        <f t="array" ref="Q38">CARDS_NEEDED($G38, $H38, $B38, $X$3:$AB$16, $X$2:$AB$2, $O38)</f>
        <v>2</v>
      </c>
      <c r="R38">
        <f t="shared" si="13"/>
        <v>50000</v>
      </c>
      <c r="S38">
        <f t="shared" si="14"/>
        <v>6</v>
      </c>
      <c r="T38">
        <f t="shared" si="15"/>
        <v>5000</v>
      </c>
      <c r="W38">
        <v>11</v>
      </c>
      <c r="X38">
        <v>15000</v>
      </c>
      <c r="AI38"/>
    </row>
    <row r="39" spans="1:35" x14ac:dyDescent="0.3">
      <c r="A39" t="s">
        <v>70</v>
      </c>
      <c r="B39" t="s">
        <v>9</v>
      </c>
      <c r="C39">
        <v>34</v>
      </c>
      <c r="D39" t="s">
        <v>147</v>
      </c>
      <c r="E39">
        <v>6</v>
      </c>
      <c r="F39">
        <v>3</v>
      </c>
      <c r="G39">
        <v>6</v>
      </c>
      <c r="H39">
        <v>0</v>
      </c>
      <c r="J39">
        <v>0</v>
      </c>
      <c r="K39" s="3">
        <v>0</v>
      </c>
      <c r="L39">
        <f t="shared" ca="1" si="9"/>
        <v>426</v>
      </c>
      <c r="M39">
        <f t="shared" ca="1" si="10"/>
        <v>426</v>
      </c>
      <c r="N39">
        <f t="shared" si="11"/>
        <v>240000</v>
      </c>
      <c r="O39" cm="1">
        <f t="array" ref="O39">LEVEL_POSSIBLE($G39, $H39, $B39, $X$3:$AB$16, $X$2:$AB$2)</f>
        <v>6</v>
      </c>
      <c r="P39">
        <f t="shared" ca="1" si="12"/>
        <v>0</v>
      </c>
      <c r="Q39" cm="1">
        <f t="array" ref="Q39">CARDS_NEEDED($G39, $H39, $B39, $X$3:$AB$16, $X$2:$AB$2, $O39)</f>
        <v>2</v>
      </c>
      <c r="R39">
        <f t="shared" si="13"/>
        <v>50000</v>
      </c>
      <c r="S39">
        <f t="shared" si="14"/>
        <v>6</v>
      </c>
      <c r="T39">
        <f t="shared" si="15"/>
        <v>30000</v>
      </c>
      <c r="W39">
        <v>12</v>
      </c>
      <c r="X39">
        <v>35000</v>
      </c>
      <c r="AI39"/>
    </row>
    <row r="40" spans="1:35" x14ac:dyDescent="0.3">
      <c r="A40" t="s">
        <v>92</v>
      </c>
      <c r="B40" t="s">
        <v>9</v>
      </c>
      <c r="C40">
        <v>35</v>
      </c>
      <c r="D40" t="s">
        <v>146</v>
      </c>
      <c r="E40">
        <v>6</v>
      </c>
      <c r="F40">
        <v>3</v>
      </c>
      <c r="G40">
        <v>6</v>
      </c>
      <c r="H40">
        <v>0</v>
      </c>
      <c r="K40" s="3">
        <v>0</v>
      </c>
      <c r="L40">
        <f t="shared" ca="1" si="9"/>
        <v>426</v>
      </c>
      <c r="M40">
        <f t="shared" ca="1" si="10"/>
        <v>426</v>
      </c>
      <c r="N40">
        <f t="shared" si="11"/>
        <v>240000</v>
      </c>
      <c r="O40" cm="1">
        <f t="array" ref="O40">LEVEL_POSSIBLE($G40, $H40, $B40, $X$3:$AB$16, $X$2:$AB$2)</f>
        <v>6</v>
      </c>
      <c r="P40">
        <f t="shared" ca="1" si="12"/>
        <v>0</v>
      </c>
      <c r="Q40" cm="1">
        <f t="array" ref="Q40">CARDS_NEEDED($G40, $H40, $B40, $X$3:$AB$16, $X$2:$AB$2, $O40)</f>
        <v>2</v>
      </c>
      <c r="R40">
        <f t="shared" si="13"/>
        <v>50000</v>
      </c>
      <c r="S40">
        <f t="shared" si="14"/>
        <v>6</v>
      </c>
      <c r="T40">
        <f t="shared" si="15"/>
        <v>30000</v>
      </c>
      <c r="W40">
        <v>13</v>
      </c>
      <c r="X40">
        <v>75000</v>
      </c>
      <c r="AI40"/>
    </row>
    <row r="41" spans="1:35" x14ac:dyDescent="0.3">
      <c r="A41" t="s">
        <v>19</v>
      </c>
      <c r="B41" t="s">
        <v>9</v>
      </c>
      <c r="C41">
        <v>36</v>
      </c>
      <c r="D41" t="s">
        <v>146</v>
      </c>
      <c r="E41">
        <v>5</v>
      </c>
      <c r="F41">
        <v>3</v>
      </c>
      <c r="G41">
        <v>6</v>
      </c>
      <c r="H41">
        <v>0</v>
      </c>
      <c r="K41" s="3">
        <v>0</v>
      </c>
      <c r="L41">
        <f t="shared" ca="1" si="9"/>
        <v>426</v>
      </c>
      <c r="M41">
        <f t="shared" ca="1" si="10"/>
        <v>426</v>
      </c>
      <c r="N41">
        <f t="shared" si="11"/>
        <v>240000</v>
      </c>
      <c r="O41" cm="1">
        <f t="array" ref="O41">LEVEL_POSSIBLE($G41, $H41, $B41, $X$3:$AB$16, $X$2:$AB$2)</f>
        <v>6</v>
      </c>
      <c r="P41">
        <f t="shared" ca="1" si="12"/>
        <v>0</v>
      </c>
      <c r="Q41" cm="1">
        <f t="array" ref="Q41">CARDS_NEEDED($G41, $H41, $B41, $X$3:$AB$16, $X$2:$AB$2, $O41)</f>
        <v>2</v>
      </c>
      <c r="R41">
        <f t="shared" si="13"/>
        <v>50000</v>
      </c>
      <c r="S41">
        <f t="shared" si="14"/>
        <v>6</v>
      </c>
      <c r="T41">
        <f t="shared" si="15"/>
        <v>30000</v>
      </c>
      <c r="W41">
        <v>14</v>
      </c>
      <c r="X41">
        <v>100000</v>
      </c>
      <c r="AI41"/>
    </row>
    <row r="42" spans="1:35" x14ac:dyDescent="0.3">
      <c r="A42" t="s">
        <v>39</v>
      </c>
      <c r="B42" t="s">
        <v>9</v>
      </c>
      <c r="C42">
        <v>37</v>
      </c>
      <c r="D42" t="s">
        <v>147</v>
      </c>
      <c r="E42">
        <v>5</v>
      </c>
      <c r="F42">
        <v>2</v>
      </c>
      <c r="G42">
        <v>6</v>
      </c>
      <c r="H42">
        <v>0</v>
      </c>
      <c r="J42">
        <v>0</v>
      </c>
      <c r="K42" s="3">
        <v>0</v>
      </c>
      <c r="L42">
        <f t="shared" ca="1" si="9"/>
        <v>426</v>
      </c>
      <c r="M42">
        <f t="shared" ca="1" si="10"/>
        <v>426</v>
      </c>
      <c r="N42">
        <f t="shared" si="11"/>
        <v>240000</v>
      </c>
      <c r="O42" cm="1">
        <f t="array" ref="O42">LEVEL_POSSIBLE($G42, $H42, $B42, $X$3:$AB$16, $X$2:$AB$2)</f>
        <v>6</v>
      </c>
      <c r="P42">
        <f t="shared" ca="1" si="12"/>
        <v>0</v>
      </c>
      <c r="Q42" cm="1">
        <f t="array" ref="Q42">CARDS_NEEDED($G42, $H42, $B42, $X$3:$AB$16, $X$2:$AB$2, $O42)</f>
        <v>2</v>
      </c>
      <c r="R42">
        <f t="shared" si="13"/>
        <v>50000</v>
      </c>
      <c r="S42">
        <f t="shared" si="14"/>
        <v>6</v>
      </c>
      <c r="T42">
        <f t="shared" si="15"/>
        <v>15000</v>
      </c>
      <c r="AI42"/>
    </row>
    <row r="43" spans="1:35" x14ac:dyDescent="0.3">
      <c r="A43" t="s">
        <v>56</v>
      </c>
      <c r="B43" t="s">
        <v>9</v>
      </c>
      <c r="C43">
        <v>38</v>
      </c>
      <c r="D43" t="s">
        <v>146</v>
      </c>
      <c r="E43">
        <v>5</v>
      </c>
      <c r="F43">
        <v>2</v>
      </c>
      <c r="G43">
        <v>6</v>
      </c>
      <c r="H43">
        <v>0</v>
      </c>
      <c r="K43" s="3">
        <v>0</v>
      </c>
      <c r="L43">
        <f t="shared" ca="1" si="9"/>
        <v>426</v>
      </c>
      <c r="M43">
        <f t="shared" ca="1" si="10"/>
        <v>426</v>
      </c>
      <c r="N43">
        <f t="shared" si="11"/>
        <v>240000</v>
      </c>
      <c r="O43" cm="1">
        <f t="array" ref="O43">LEVEL_POSSIBLE($G43, $H43, $B43, $X$3:$AB$16, $X$2:$AB$2)</f>
        <v>6</v>
      </c>
      <c r="P43">
        <f t="shared" ca="1" si="12"/>
        <v>0</v>
      </c>
      <c r="Q43" cm="1">
        <f t="array" ref="Q43">CARDS_NEEDED($G43, $H43, $B43, $X$3:$AB$16, $X$2:$AB$2, $O43)</f>
        <v>2</v>
      </c>
      <c r="R43">
        <f t="shared" si="13"/>
        <v>50000</v>
      </c>
      <c r="S43">
        <f t="shared" si="14"/>
        <v>6</v>
      </c>
      <c r="T43">
        <f t="shared" si="15"/>
        <v>15000</v>
      </c>
      <c r="AI43"/>
    </row>
    <row r="44" spans="1:35" x14ac:dyDescent="0.3">
      <c r="A44" t="s">
        <v>71</v>
      </c>
      <c r="B44" t="s">
        <v>9</v>
      </c>
      <c r="C44">
        <v>39</v>
      </c>
      <c r="D44" t="s">
        <v>147</v>
      </c>
      <c r="E44">
        <v>5</v>
      </c>
      <c r="F44">
        <v>1</v>
      </c>
      <c r="G44">
        <v>6</v>
      </c>
      <c r="H44">
        <v>0</v>
      </c>
      <c r="J44">
        <v>0</v>
      </c>
      <c r="K44" s="3">
        <v>0</v>
      </c>
      <c r="L44">
        <f t="shared" ca="1" si="9"/>
        <v>426</v>
      </c>
      <c r="M44">
        <f t="shared" ca="1" si="10"/>
        <v>426</v>
      </c>
      <c r="N44">
        <f t="shared" si="11"/>
        <v>240000</v>
      </c>
      <c r="O44" cm="1">
        <f t="array" ref="O44">LEVEL_POSSIBLE($G44, $H44, $B44, $X$3:$AB$16, $X$2:$AB$2)</f>
        <v>6</v>
      </c>
      <c r="P44">
        <f t="shared" ca="1" si="12"/>
        <v>0</v>
      </c>
      <c r="Q44" cm="1">
        <f t="array" ref="Q44">CARDS_NEEDED($G44, $H44, $B44, $X$3:$AB$16, $X$2:$AB$2, $O44)</f>
        <v>2</v>
      </c>
      <c r="R44">
        <f t="shared" si="13"/>
        <v>50000</v>
      </c>
      <c r="S44">
        <f t="shared" si="14"/>
        <v>6</v>
      </c>
      <c r="T44">
        <f t="shared" si="15"/>
        <v>5000</v>
      </c>
      <c r="W44" t="s">
        <v>165</v>
      </c>
      <c r="X44" t="s">
        <v>166</v>
      </c>
      <c r="AI44"/>
    </row>
    <row r="45" spans="1:35" x14ac:dyDescent="0.3">
      <c r="A45" t="s">
        <v>28</v>
      </c>
      <c r="B45" t="s">
        <v>9</v>
      </c>
      <c r="C45">
        <v>40</v>
      </c>
      <c r="D45" t="s">
        <v>146</v>
      </c>
      <c r="E45">
        <v>5</v>
      </c>
      <c r="F45">
        <v>1</v>
      </c>
      <c r="G45">
        <v>6</v>
      </c>
      <c r="H45">
        <v>0</v>
      </c>
      <c r="K45" s="3">
        <v>0</v>
      </c>
      <c r="L45">
        <f t="shared" ca="1" si="9"/>
        <v>426</v>
      </c>
      <c r="M45">
        <f t="shared" ca="1" si="10"/>
        <v>426</v>
      </c>
      <c r="N45">
        <f t="shared" si="11"/>
        <v>240000</v>
      </c>
      <c r="O45" cm="1">
        <f t="array" ref="O45">LEVEL_POSSIBLE($G45, $H45, $B45, $X$3:$AB$16, $X$2:$AB$2)</f>
        <v>6</v>
      </c>
      <c r="P45">
        <f t="shared" ca="1" si="12"/>
        <v>0</v>
      </c>
      <c r="Q45" cm="1">
        <f t="array" ref="Q45">CARDS_NEEDED($G45, $H45, $B45, $X$3:$AB$16, $X$2:$AB$2, $O45)</f>
        <v>2</v>
      </c>
      <c r="R45">
        <f t="shared" si="13"/>
        <v>50000</v>
      </c>
      <c r="S45">
        <f t="shared" si="14"/>
        <v>6</v>
      </c>
      <c r="T45">
        <f t="shared" si="15"/>
        <v>5000</v>
      </c>
      <c r="W45">
        <v>1</v>
      </c>
      <c r="X45">
        <v>5000</v>
      </c>
      <c r="AI45"/>
    </row>
    <row r="46" spans="1:35" x14ac:dyDescent="0.3">
      <c r="A46" t="s">
        <v>93</v>
      </c>
      <c r="B46" t="s">
        <v>9</v>
      </c>
      <c r="C46">
        <v>41</v>
      </c>
      <c r="D46" t="s">
        <v>146</v>
      </c>
      <c r="E46">
        <v>5</v>
      </c>
      <c r="F46">
        <v>3</v>
      </c>
      <c r="G46">
        <v>6</v>
      </c>
      <c r="H46">
        <v>0</v>
      </c>
      <c r="K46" s="3">
        <v>0</v>
      </c>
      <c r="L46">
        <f t="shared" ca="1" si="9"/>
        <v>426</v>
      </c>
      <c r="M46">
        <f t="shared" ca="1" si="10"/>
        <v>426</v>
      </c>
      <c r="N46">
        <f t="shared" si="11"/>
        <v>240000</v>
      </c>
      <c r="O46" cm="1">
        <f t="array" ref="O46">LEVEL_POSSIBLE($G46, $H46, $B46, $X$3:$AB$16, $X$2:$AB$2)</f>
        <v>6</v>
      </c>
      <c r="P46">
        <f t="shared" ca="1" si="12"/>
        <v>0</v>
      </c>
      <c r="Q46" cm="1">
        <f t="array" ref="Q46">CARDS_NEEDED($G46, $H46, $B46, $X$3:$AB$16, $X$2:$AB$2, $O46)</f>
        <v>2</v>
      </c>
      <c r="R46">
        <f t="shared" si="13"/>
        <v>50000</v>
      </c>
      <c r="S46">
        <f t="shared" si="14"/>
        <v>6</v>
      </c>
      <c r="T46">
        <f t="shared" si="15"/>
        <v>30000</v>
      </c>
      <c r="W46">
        <v>2</v>
      </c>
      <c r="X46">
        <v>10000</v>
      </c>
      <c r="AI46"/>
    </row>
    <row r="47" spans="1:35" x14ac:dyDescent="0.3">
      <c r="A47" t="s">
        <v>50</v>
      </c>
      <c r="B47" t="s">
        <v>9</v>
      </c>
      <c r="C47">
        <v>42</v>
      </c>
      <c r="D47" t="s">
        <v>147</v>
      </c>
      <c r="E47">
        <v>5</v>
      </c>
      <c r="F47">
        <v>2</v>
      </c>
      <c r="G47">
        <v>6</v>
      </c>
      <c r="H47">
        <v>0</v>
      </c>
      <c r="J47">
        <v>0</v>
      </c>
      <c r="K47" s="3">
        <v>0</v>
      </c>
      <c r="L47">
        <f t="shared" ca="1" si="9"/>
        <v>426</v>
      </c>
      <c r="M47">
        <f t="shared" ca="1" si="10"/>
        <v>426</v>
      </c>
      <c r="N47">
        <f t="shared" si="11"/>
        <v>240000</v>
      </c>
      <c r="O47" cm="1">
        <f t="array" ref="O47">LEVEL_POSSIBLE($G47, $H47, $B47, $X$3:$AB$16, $X$2:$AB$2)</f>
        <v>6</v>
      </c>
      <c r="P47">
        <f t="shared" ca="1" si="12"/>
        <v>0</v>
      </c>
      <c r="Q47" cm="1">
        <f t="array" ref="Q47">CARDS_NEEDED($G47, $H47, $B47, $X$3:$AB$16, $X$2:$AB$2, $O47)</f>
        <v>2</v>
      </c>
      <c r="R47">
        <f t="shared" si="13"/>
        <v>50000</v>
      </c>
      <c r="S47">
        <f t="shared" si="14"/>
        <v>6</v>
      </c>
      <c r="T47">
        <f t="shared" si="15"/>
        <v>15000</v>
      </c>
      <c r="W47">
        <v>3</v>
      </c>
      <c r="X47">
        <v>15000</v>
      </c>
      <c r="AI47"/>
    </row>
    <row r="48" spans="1:35" x14ac:dyDescent="0.3">
      <c r="A48" t="s">
        <v>18</v>
      </c>
      <c r="B48" t="s">
        <v>9</v>
      </c>
      <c r="C48">
        <v>43</v>
      </c>
      <c r="D48" t="s">
        <v>147</v>
      </c>
      <c r="E48">
        <v>4</v>
      </c>
      <c r="F48">
        <v>1</v>
      </c>
      <c r="G48">
        <v>6</v>
      </c>
      <c r="H48">
        <v>0</v>
      </c>
      <c r="J48">
        <v>0</v>
      </c>
      <c r="K48" s="3">
        <v>0</v>
      </c>
      <c r="L48">
        <f t="shared" ca="1" si="9"/>
        <v>426</v>
      </c>
      <c r="M48">
        <f t="shared" ca="1" si="10"/>
        <v>426</v>
      </c>
      <c r="N48">
        <f t="shared" si="11"/>
        <v>240000</v>
      </c>
      <c r="O48" cm="1">
        <f t="array" ref="O48">LEVEL_POSSIBLE($G48, $H48, $B48, $X$3:$AB$16, $X$2:$AB$2)</f>
        <v>6</v>
      </c>
      <c r="P48">
        <f t="shared" ca="1" si="12"/>
        <v>0</v>
      </c>
      <c r="Q48" cm="1">
        <f t="array" ref="Q48">CARDS_NEEDED($G48, $H48, $B48, $X$3:$AB$16, $X$2:$AB$2, $O48)</f>
        <v>2</v>
      </c>
      <c r="R48">
        <f t="shared" si="13"/>
        <v>50000</v>
      </c>
      <c r="S48">
        <f t="shared" si="14"/>
        <v>6</v>
      </c>
      <c r="T48">
        <f t="shared" si="15"/>
        <v>5000</v>
      </c>
      <c r="AI48"/>
    </row>
    <row r="49" spans="1:36" x14ac:dyDescent="0.3">
      <c r="A49" t="s">
        <v>116</v>
      </c>
      <c r="B49" t="s">
        <v>9</v>
      </c>
      <c r="C49">
        <v>44</v>
      </c>
      <c r="D49" t="s">
        <v>146</v>
      </c>
      <c r="E49">
        <v>4</v>
      </c>
      <c r="F49">
        <v>1</v>
      </c>
      <c r="G49">
        <v>6</v>
      </c>
      <c r="H49">
        <v>0</v>
      </c>
      <c r="K49" s="3">
        <v>0</v>
      </c>
      <c r="L49">
        <f t="shared" ca="1" si="9"/>
        <v>426</v>
      </c>
      <c r="M49">
        <f t="shared" ca="1" si="10"/>
        <v>426</v>
      </c>
      <c r="N49">
        <f t="shared" si="11"/>
        <v>240000</v>
      </c>
      <c r="O49" cm="1">
        <f t="array" ref="O49">LEVEL_POSSIBLE($G49, $H49, $B49, $X$3:$AB$16, $X$2:$AB$2)</f>
        <v>6</v>
      </c>
      <c r="P49">
        <f t="shared" ca="1" si="12"/>
        <v>0</v>
      </c>
      <c r="Q49" cm="1">
        <f t="array" ref="Q49">CARDS_NEEDED($G49, $H49, $B49, $X$3:$AB$16, $X$2:$AB$2, $O49)</f>
        <v>2</v>
      </c>
      <c r="R49">
        <f t="shared" si="13"/>
        <v>50000</v>
      </c>
      <c r="S49">
        <f t="shared" si="14"/>
        <v>6</v>
      </c>
      <c r="T49">
        <f t="shared" si="15"/>
        <v>5000</v>
      </c>
      <c r="AI49"/>
    </row>
    <row r="50" spans="1:36" x14ac:dyDescent="0.3">
      <c r="A50" t="s">
        <v>163</v>
      </c>
      <c r="B50" t="s">
        <v>9</v>
      </c>
      <c r="C50">
        <v>45</v>
      </c>
      <c r="D50" t="s">
        <v>146</v>
      </c>
      <c r="E50">
        <v>4</v>
      </c>
      <c r="F50">
        <v>1</v>
      </c>
      <c r="G50">
        <v>6</v>
      </c>
      <c r="H50">
        <v>0</v>
      </c>
      <c r="K50" s="3">
        <v>0</v>
      </c>
      <c r="L50">
        <f t="shared" ca="1" si="9"/>
        <v>426</v>
      </c>
      <c r="M50">
        <f t="shared" ca="1" si="10"/>
        <v>426</v>
      </c>
      <c r="N50">
        <f t="shared" si="11"/>
        <v>240000</v>
      </c>
      <c r="O50" cm="1">
        <f t="array" ref="O50">LEVEL_POSSIBLE($G50, $H50, $B50, $X$3:$AB$16, $X$2:$AB$2)</f>
        <v>6</v>
      </c>
      <c r="P50">
        <f t="shared" ca="1" si="12"/>
        <v>0</v>
      </c>
      <c r="Q50" cm="1">
        <f t="array" ref="Q50">CARDS_NEEDED($G50, $H50, $B50, $X$3:$AB$16, $X$2:$AB$2, $O50)</f>
        <v>2</v>
      </c>
      <c r="R50">
        <f t="shared" si="13"/>
        <v>50000</v>
      </c>
      <c r="S50">
        <f t="shared" si="14"/>
        <v>6</v>
      </c>
      <c r="T50">
        <f t="shared" si="15"/>
        <v>5000</v>
      </c>
      <c r="AI50"/>
    </row>
    <row r="51" spans="1:36" x14ac:dyDescent="0.3">
      <c r="A51" t="s">
        <v>24</v>
      </c>
      <c r="B51" t="s">
        <v>9</v>
      </c>
      <c r="C51">
        <v>46</v>
      </c>
      <c r="D51" t="s">
        <v>146</v>
      </c>
      <c r="E51">
        <v>4</v>
      </c>
      <c r="F51">
        <v>1</v>
      </c>
      <c r="G51">
        <v>6</v>
      </c>
      <c r="H51">
        <v>0</v>
      </c>
      <c r="K51" s="3">
        <v>0</v>
      </c>
      <c r="L51">
        <f t="shared" ca="1" si="9"/>
        <v>426</v>
      </c>
      <c r="M51">
        <f t="shared" ca="1" si="10"/>
        <v>426</v>
      </c>
      <c r="N51">
        <f t="shared" si="11"/>
        <v>240000</v>
      </c>
      <c r="O51" cm="1">
        <f t="array" ref="O51">LEVEL_POSSIBLE($G51, $H51, $B51, $X$3:$AB$16, $X$2:$AB$2)</f>
        <v>6</v>
      </c>
      <c r="P51">
        <f t="shared" ca="1" si="12"/>
        <v>0</v>
      </c>
      <c r="Q51" cm="1">
        <f t="array" ref="Q51">CARDS_NEEDED($G51, $H51, $B51, $X$3:$AB$16, $X$2:$AB$2, $O51)</f>
        <v>2</v>
      </c>
      <c r="R51">
        <f t="shared" si="13"/>
        <v>50000</v>
      </c>
      <c r="S51">
        <f t="shared" si="14"/>
        <v>6</v>
      </c>
      <c r="T51">
        <f t="shared" si="15"/>
        <v>5000</v>
      </c>
      <c r="AI51"/>
    </row>
    <row r="52" spans="1:36" x14ac:dyDescent="0.3">
      <c r="A52" t="s">
        <v>72</v>
      </c>
      <c r="B52" t="s">
        <v>9</v>
      </c>
      <c r="C52">
        <v>47</v>
      </c>
      <c r="D52" t="s">
        <v>146</v>
      </c>
      <c r="E52">
        <v>4</v>
      </c>
      <c r="F52">
        <v>1</v>
      </c>
      <c r="G52">
        <v>6</v>
      </c>
      <c r="H52">
        <v>0</v>
      </c>
      <c r="K52" s="3">
        <v>0</v>
      </c>
      <c r="L52">
        <f t="shared" ca="1" si="9"/>
        <v>426</v>
      </c>
      <c r="M52">
        <f t="shared" ca="1" si="10"/>
        <v>426</v>
      </c>
      <c r="N52">
        <f t="shared" si="11"/>
        <v>240000</v>
      </c>
      <c r="O52" cm="1">
        <f t="array" ref="O52">LEVEL_POSSIBLE($G52, $H52, $B52, $X$3:$AB$16, $X$2:$AB$2)</f>
        <v>6</v>
      </c>
      <c r="P52">
        <f t="shared" ca="1" si="12"/>
        <v>0</v>
      </c>
      <c r="Q52" cm="1">
        <f t="array" ref="Q52">CARDS_NEEDED($G52, $H52, $B52, $X$3:$AB$16, $X$2:$AB$2, $O52)</f>
        <v>2</v>
      </c>
      <c r="R52">
        <f t="shared" si="13"/>
        <v>50000</v>
      </c>
      <c r="S52">
        <f t="shared" si="14"/>
        <v>6</v>
      </c>
      <c r="T52">
        <f t="shared" si="15"/>
        <v>5000</v>
      </c>
      <c r="AI52"/>
    </row>
    <row r="53" spans="1:36" x14ac:dyDescent="0.3">
      <c r="A53" t="s">
        <v>117</v>
      </c>
      <c r="B53" t="s">
        <v>9</v>
      </c>
      <c r="C53">
        <v>48</v>
      </c>
      <c r="D53" t="s">
        <v>146</v>
      </c>
      <c r="E53">
        <v>4</v>
      </c>
      <c r="F53">
        <v>2</v>
      </c>
      <c r="G53">
        <v>6</v>
      </c>
      <c r="H53">
        <v>0</v>
      </c>
      <c r="K53" s="3">
        <v>0</v>
      </c>
      <c r="L53">
        <f t="shared" ca="1" si="9"/>
        <v>426</v>
      </c>
      <c r="M53">
        <f t="shared" ca="1" si="10"/>
        <v>426</v>
      </c>
      <c r="N53">
        <f t="shared" si="11"/>
        <v>240000</v>
      </c>
      <c r="O53" cm="1">
        <f t="array" ref="O53">LEVEL_POSSIBLE($G53, $H53, $B53, $X$3:$AB$16, $X$2:$AB$2)</f>
        <v>6</v>
      </c>
      <c r="P53">
        <f t="shared" ca="1" si="12"/>
        <v>0</v>
      </c>
      <c r="Q53" cm="1">
        <f t="array" ref="Q53">CARDS_NEEDED($G53, $H53, $B53, $X$3:$AB$16, $X$2:$AB$2, $O53)</f>
        <v>2</v>
      </c>
      <c r="R53">
        <f t="shared" si="13"/>
        <v>50000</v>
      </c>
      <c r="S53">
        <f t="shared" si="14"/>
        <v>6</v>
      </c>
      <c r="T53">
        <f t="shared" si="15"/>
        <v>15000</v>
      </c>
      <c r="AI53"/>
    </row>
    <row r="54" spans="1:36" x14ac:dyDescent="0.3">
      <c r="A54" t="s">
        <v>54</v>
      </c>
      <c r="B54" t="s">
        <v>9</v>
      </c>
      <c r="C54">
        <v>49</v>
      </c>
      <c r="D54" t="s">
        <v>147</v>
      </c>
      <c r="E54">
        <v>4</v>
      </c>
      <c r="F54">
        <v>3</v>
      </c>
      <c r="G54">
        <v>6</v>
      </c>
      <c r="H54">
        <v>0</v>
      </c>
      <c r="J54">
        <v>0</v>
      </c>
      <c r="K54" s="3">
        <v>0</v>
      </c>
      <c r="L54">
        <f t="shared" ca="1" si="9"/>
        <v>426</v>
      </c>
      <c r="M54">
        <f t="shared" ca="1" si="10"/>
        <v>426</v>
      </c>
      <c r="N54">
        <f t="shared" si="11"/>
        <v>240000</v>
      </c>
      <c r="O54" cm="1">
        <f t="array" ref="O54">LEVEL_POSSIBLE($G54, $H54, $B54, $X$3:$AB$16, $X$2:$AB$2)</f>
        <v>6</v>
      </c>
      <c r="P54">
        <f t="shared" ca="1" si="12"/>
        <v>0</v>
      </c>
      <c r="Q54" cm="1">
        <f t="array" ref="Q54">CARDS_NEEDED($G54, $H54, $B54, $X$3:$AB$16, $X$2:$AB$2, $O54)</f>
        <v>2</v>
      </c>
      <c r="R54">
        <f t="shared" si="13"/>
        <v>50000</v>
      </c>
      <c r="S54">
        <f t="shared" si="14"/>
        <v>6</v>
      </c>
      <c r="T54">
        <f t="shared" si="15"/>
        <v>30000</v>
      </c>
      <c r="AI54"/>
    </row>
    <row r="55" spans="1:36" x14ac:dyDescent="0.3">
      <c r="A55" t="s">
        <v>62</v>
      </c>
      <c r="B55" t="s">
        <v>9</v>
      </c>
      <c r="C55">
        <v>50</v>
      </c>
      <c r="D55" t="s">
        <v>146</v>
      </c>
      <c r="E55">
        <v>3</v>
      </c>
      <c r="F55">
        <v>1</v>
      </c>
      <c r="G55">
        <v>6</v>
      </c>
      <c r="H55">
        <v>0</v>
      </c>
      <c r="K55" s="3">
        <v>0</v>
      </c>
      <c r="L55">
        <f t="shared" ca="1" si="9"/>
        <v>426</v>
      </c>
      <c r="M55">
        <f t="shared" ca="1" si="10"/>
        <v>426</v>
      </c>
      <c r="N55">
        <f t="shared" si="11"/>
        <v>240000</v>
      </c>
      <c r="O55" cm="1">
        <f t="array" ref="O55">LEVEL_POSSIBLE($G55, $H55, $B55, $X$3:$AB$16, $X$2:$AB$2)</f>
        <v>6</v>
      </c>
      <c r="P55">
        <f t="shared" ca="1" si="12"/>
        <v>0</v>
      </c>
      <c r="Q55" cm="1">
        <f t="array" ref="Q55">CARDS_NEEDED($G55, $H55, $B55, $X$3:$AB$16, $X$2:$AB$2, $O55)</f>
        <v>2</v>
      </c>
      <c r="R55">
        <f t="shared" si="13"/>
        <v>50000</v>
      </c>
      <c r="S55">
        <f t="shared" si="14"/>
        <v>6</v>
      </c>
      <c r="T55">
        <f t="shared" si="15"/>
        <v>5000</v>
      </c>
      <c r="AI55"/>
    </row>
    <row r="56" spans="1:36" x14ac:dyDescent="0.3">
      <c r="A56" t="s">
        <v>23</v>
      </c>
      <c r="B56" t="s">
        <v>9</v>
      </c>
      <c r="C56">
        <v>51</v>
      </c>
      <c r="D56" t="s">
        <v>146</v>
      </c>
      <c r="E56">
        <v>3</v>
      </c>
      <c r="F56">
        <v>1</v>
      </c>
      <c r="G56">
        <v>6</v>
      </c>
      <c r="H56">
        <v>0</v>
      </c>
      <c r="K56" s="3">
        <v>0</v>
      </c>
      <c r="L56">
        <f t="shared" ca="1" si="9"/>
        <v>426</v>
      </c>
      <c r="M56">
        <f t="shared" ca="1" si="10"/>
        <v>426</v>
      </c>
      <c r="N56">
        <f t="shared" si="11"/>
        <v>240000</v>
      </c>
      <c r="O56" cm="1">
        <f t="array" ref="O56">LEVEL_POSSIBLE($G56, $H56, $B56, $X$3:$AB$16, $X$2:$AB$2)</f>
        <v>6</v>
      </c>
      <c r="P56">
        <f t="shared" ca="1" si="12"/>
        <v>0</v>
      </c>
      <c r="Q56" cm="1">
        <f t="array" ref="Q56">CARDS_NEEDED($G56, $H56, $B56, $X$3:$AB$16, $X$2:$AB$2, $O56)</f>
        <v>2</v>
      </c>
      <c r="R56">
        <f t="shared" si="13"/>
        <v>50000</v>
      </c>
      <c r="S56">
        <f t="shared" si="14"/>
        <v>6</v>
      </c>
      <c r="T56">
        <f t="shared" si="15"/>
        <v>5000</v>
      </c>
      <c r="AI56"/>
    </row>
    <row r="57" spans="1:36" x14ac:dyDescent="0.3">
      <c r="A57" t="s">
        <v>5</v>
      </c>
      <c r="B57" t="s">
        <v>9</v>
      </c>
      <c r="C57">
        <v>52</v>
      </c>
      <c r="D57" t="s">
        <v>146</v>
      </c>
      <c r="E57">
        <v>3</v>
      </c>
      <c r="F57">
        <v>1</v>
      </c>
      <c r="G57">
        <v>6</v>
      </c>
      <c r="H57">
        <v>0</v>
      </c>
      <c r="K57" s="3">
        <v>0</v>
      </c>
      <c r="L57">
        <f t="shared" ca="1" si="9"/>
        <v>426</v>
      </c>
      <c r="M57">
        <f t="shared" ca="1" si="10"/>
        <v>426</v>
      </c>
      <c r="N57">
        <f t="shared" si="11"/>
        <v>240000</v>
      </c>
      <c r="O57" cm="1">
        <f t="array" ref="O57">LEVEL_POSSIBLE($G57, $H57, $B57, $X$3:$AB$16, $X$2:$AB$2)</f>
        <v>6</v>
      </c>
      <c r="P57">
        <f t="shared" ca="1" si="12"/>
        <v>0</v>
      </c>
      <c r="Q57" cm="1">
        <f t="array" ref="Q57">CARDS_NEEDED($G57, $H57, $B57, $X$3:$AB$16, $X$2:$AB$2, $O57)</f>
        <v>2</v>
      </c>
      <c r="R57">
        <f t="shared" si="13"/>
        <v>50000</v>
      </c>
      <c r="S57">
        <f t="shared" si="14"/>
        <v>6</v>
      </c>
      <c r="T57">
        <f t="shared" si="15"/>
        <v>5000</v>
      </c>
      <c r="AI57"/>
    </row>
    <row r="58" spans="1:36" x14ac:dyDescent="0.3">
      <c r="A58" t="s">
        <v>11</v>
      </c>
      <c r="B58" t="s">
        <v>9</v>
      </c>
      <c r="C58">
        <v>53</v>
      </c>
      <c r="D58" t="s">
        <v>147</v>
      </c>
      <c r="E58">
        <v>3</v>
      </c>
      <c r="F58">
        <v>3</v>
      </c>
      <c r="G58">
        <v>6</v>
      </c>
      <c r="H58">
        <v>0</v>
      </c>
      <c r="J58">
        <v>0</v>
      </c>
      <c r="K58" s="3">
        <v>0</v>
      </c>
      <c r="L58">
        <f t="shared" ca="1" si="9"/>
        <v>426</v>
      </c>
      <c r="M58">
        <f t="shared" ca="1" si="10"/>
        <v>426</v>
      </c>
      <c r="N58">
        <f t="shared" si="11"/>
        <v>240000</v>
      </c>
      <c r="O58" cm="1">
        <f t="array" ref="O58">LEVEL_POSSIBLE($G58, $H58, $B58, $X$3:$AB$16, $X$2:$AB$2)</f>
        <v>6</v>
      </c>
      <c r="P58">
        <f t="shared" ca="1" si="12"/>
        <v>0</v>
      </c>
      <c r="Q58" cm="1">
        <f t="array" ref="Q58">CARDS_NEEDED($G58, $H58, $B58, $X$3:$AB$16, $X$2:$AB$2, $O58)</f>
        <v>2</v>
      </c>
      <c r="R58">
        <f t="shared" si="13"/>
        <v>50000</v>
      </c>
      <c r="S58">
        <f t="shared" si="14"/>
        <v>6</v>
      </c>
      <c r="T58">
        <f t="shared" si="15"/>
        <v>30000</v>
      </c>
      <c r="AG58" s="4" t="s">
        <v>171</v>
      </c>
      <c r="AH58" s="4"/>
      <c r="AI58"/>
    </row>
    <row r="59" spans="1:36" x14ac:dyDescent="0.3">
      <c r="A59" t="s">
        <v>118</v>
      </c>
      <c r="B59" t="s">
        <v>9</v>
      </c>
      <c r="C59">
        <v>54</v>
      </c>
      <c r="D59" t="s">
        <v>146</v>
      </c>
      <c r="E59">
        <v>3</v>
      </c>
      <c r="F59">
        <v>2</v>
      </c>
      <c r="G59">
        <v>6</v>
      </c>
      <c r="H59">
        <v>0</v>
      </c>
      <c r="K59" s="3">
        <v>0</v>
      </c>
      <c r="L59">
        <f t="shared" ca="1" si="9"/>
        <v>426</v>
      </c>
      <c r="M59">
        <f t="shared" ca="1" si="10"/>
        <v>426</v>
      </c>
      <c r="N59">
        <f t="shared" si="11"/>
        <v>240000</v>
      </c>
      <c r="O59" cm="1">
        <f t="array" ref="O59">LEVEL_POSSIBLE($G59, $H59, $B59, $X$3:$AB$16, $X$2:$AB$2)</f>
        <v>6</v>
      </c>
      <c r="P59">
        <f t="shared" ca="1" si="12"/>
        <v>0</v>
      </c>
      <c r="Q59" cm="1">
        <f t="array" ref="Q59">CARDS_NEEDED($G59, $H59, $B59, $X$3:$AB$16, $X$2:$AB$2, $O59)</f>
        <v>2</v>
      </c>
      <c r="R59">
        <f t="shared" si="13"/>
        <v>50000</v>
      </c>
      <c r="S59">
        <f t="shared" si="14"/>
        <v>6</v>
      </c>
      <c r="T59">
        <f t="shared" si="15"/>
        <v>15000</v>
      </c>
      <c r="AG59" t="s">
        <v>172</v>
      </c>
      <c r="AH59">
        <v>1</v>
      </c>
      <c r="AI59">
        <v>2</v>
      </c>
      <c r="AJ59">
        <v>3</v>
      </c>
    </row>
    <row r="60" spans="1:36" x14ac:dyDescent="0.3">
      <c r="A60" t="s">
        <v>38</v>
      </c>
      <c r="B60" t="s">
        <v>9</v>
      </c>
      <c r="C60">
        <v>55</v>
      </c>
      <c r="D60" t="s">
        <v>146</v>
      </c>
      <c r="E60">
        <v>3</v>
      </c>
      <c r="F60">
        <v>3</v>
      </c>
      <c r="G60">
        <v>6</v>
      </c>
      <c r="H60">
        <v>0</v>
      </c>
      <c r="K60" s="3">
        <v>0</v>
      </c>
      <c r="L60">
        <f t="shared" ca="1" si="9"/>
        <v>426</v>
      </c>
      <c r="M60">
        <f t="shared" ca="1" si="10"/>
        <v>426</v>
      </c>
      <c r="N60">
        <f t="shared" si="11"/>
        <v>240000</v>
      </c>
      <c r="O60" cm="1">
        <f t="array" ref="O60">LEVEL_POSSIBLE($G60, $H60, $B60, $X$3:$AB$16, $X$2:$AB$2)</f>
        <v>6</v>
      </c>
      <c r="P60">
        <f t="shared" ca="1" si="12"/>
        <v>0</v>
      </c>
      <c r="Q60" cm="1">
        <f t="array" ref="Q60">CARDS_NEEDED($G60, $H60, $B60, $X$3:$AB$16, $X$2:$AB$2, $O60)</f>
        <v>2</v>
      </c>
      <c r="R60">
        <f t="shared" si="13"/>
        <v>50000</v>
      </c>
      <c r="S60">
        <f t="shared" si="14"/>
        <v>6</v>
      </c>
      <c r="T60">
        <f t="shared" si="15"/>
        <v>30000</v>
      </c>
      <c r="AG60" t="s">
        <v>173</v>
      </c>
      <c r="AH60">
        <f>COUNTIF($F$2:$F$124,AH59)</f>
        <v>44</v>
      </c>
      <c r="AI60">
        <f t="shared" ref="AI60:AJ60" si="16">COUNTIF($F$2:$F$124,AI59)</f>
        <v>38</v>
      </c>
      <c r="AJ60">
        <f t="shared" si="16"/>
        <v>29</v>
      </c>
    </row>
    <row r="61" spans="1:36" x14ac:dyDescent="0.3">
      <c r="A61" t="s">
        <v>76</v>
      </c>
      <c r="B61" t="s">
        <v>9</v>
      </c>
      <c r="C61">
        <v>56</v>
      </c>
      <c r="D61" t="s">
        <v>146</v>
      </c>
      <c r="E61">
        <v>2</v>
      </c>
      <c r="F61">
        <v>1</v>
      </c>
      <c r="G61">
        <v>6</v>
      </c>
      <c r="H61">
        <v>0</v>
      </c>
      <c r="K61" s="3">
        <v>0</v>
      </c>
      <c r="L61">
        <f t="shared" ca="1" si="9"/>
        <v>426</v>
      </c>
      <c r="M61">
        <f t="shared" ca="1" si="10"/>
        <v>426</v>
      </c>
      <c r="N61">
        <f t="shared" si="11"/>
        <v>240000</v>
      </c>
      <c r="O61" cm="1">
        <f t="array" ref="O61">LEVEL_POSSIBLE($G61, $H61, $B61, $X$3:$AB$16, $X$2:$AB$2)</f>
        <v>6</v>
      </c>
      <c r="P61">
        <f t="shared" ca="1" si="12"/>
        <v>0</v>
      </c>
      <c r="Q61" cm="1">
        <f t="array" ref="Q61">CARDS_NEEDED($G61, $H61, $B61, $X$3:$AB$16, $X$2:$AB$2, $O61)</f>
        <v>2</v>
      </c>
      <c r="R61">
        <f t="shared" si="13"/>
        <v>50000</v>
      </c>
      <c r="S61">
        <f t="shared" si="14"/>
        <v>6</v>
      </c>
      <c r="T61">
        <f t="shared" si="15"/>
        <v>5000</v>
      </c>
      <c r="AG61" t="s">
        <v>174</v>
      </c>
      <c r="AH61">
        <f>AH60*$X$45</f>
        <v>220000</v>
      </c>
      <c r="AI61">
        <f>AI60*($X$45+$X$46)</f>
        <v>570000</v>
      </c>
      <c r="AJ61">
        <f>AJ60*($X$45+$X$46+$X$47)</f>
        <v>870000</v>
      </c>
    </row>
    <row r="62" spans="1:36" x14ac:dyDescent="0.3">
      <c r="A62" t="s">
        <v>29</v>
      </c>
      <c r="B62" t="s">
        <v>9</v>
      </c>
      <c r="C62">
        <v>57</v>
      </c>
      <c r="D62" t="s">
        <v>146</v>
      </c>
      <c r="E62">
        <v>2</v>
      </c>
      <c r="F62">
        <v>1</v>
      </c>
      <c r="G62">
        <v>6</v>
      </c>
      <c r="H62">
        <v>0</v>
      </c>
      <c r="K62" s="3">
        <v>0</v>
      </c>
      <c r="L62">
        <f t="shared" ca="1" si="9"/>
        <v>426</v>
      </c>
      <c r="M62">
        <f t="shared" ca="1" si="10"/>
        <v>426</v>
      </c>
      <c r="N62">
        <f t="shared" si="11"/>
        <v>240000</v>
      </c>
      <c r="O62" cm="1">
        <f t="array" ref="O62">LEVEL_POSSIBLE($G62, $H62, $B62, $X$3:$AB$16, $X$2:$AB$2)</f>
        <v>6</v>
      </c>
      <c r="P62">
        <f t="shared" ca="1" si="12"/>
        <v>0</v>
      </c>
      <c r="Q62" cm="1">
        <f t="array" ref="Q62">CARDS_NEEDED($G62, $H62, $B62, $X$3:$AB$16, $X$2:$AB$2, $O62)</f>
        <v>2</v>
      </c>
      <c r="R62">
        <f t="shared" si="13"/>
        <v>50000</v>
      </c>
      <c r="S62">
        <f t="shared" si="14"/>
        <v>6</v>
      </c>
      <c r="T62">
        <f t="shared" si="15"/>
        <v>5000</v>
      </c>
      <c r="AG62" t="s">
        <v>175</v>
      </c>
      <c r="AH62">
        <f>COUNTIFS($F$2:$F$124, AH59, $K$2:$K$124, AH59) * $X$45</f>
        <v>0</v>
      </c>
      <c r="AI62">
        <f>COUNTIFS($F$2:$F$124, AH59, $K$2:$K$124, AH59) * $X$45 + COUNTIFS($F$2:$F$124, AI59, $K$2:$K$124, AI59) * ($X$46 + $X$45)</f>
        <v>0</v>
      </c>
      <c r="AJ62">
        <f>COUNTIFS($F$2:$F$124, AH59, $K$2:$K$124, AH59) * $X$45 + COUNTIFS($F$2:$F$124, AI59, $K$2:$K$124, AI59) * ($X$46 + $X$45) + COUNTIFS($F$2:$F$124, AJ59, $K$2:$K$124, AJ59) * (SUM($X$45:$X$47))</f>
        <v>0</v>
      </c>
    </row>
    <row r="63" spans="1:36" x14ac:dyDescent="0.3">
      <c r="A63" t="s">
        <v>94</v>
      </c>
      <c r="B63" t="s">
        <v>9</v>
      </c>
      <c r="C63">
        <v>58</v>
      </c>
      <c r="D63" t="s">
        <v>147</v>
      </c>
      <c r="E63">
        <v>2</v>
      </c>
      <c r="F63">
        <v>3</v>
      </c>
      <c r="G63">
        <v>6</v>
      </c>
      <c r="H63">
        <v>0</v>
      </c>
      <c r="J63">
        <v>0</v>
      </c>
      <c r="K63" s="3">
        <v>0</v>
      </c>
      <c r="L63">
        <f t="shared" ca="1" si="9"/>
        <v>426</v>
      </c>
      <c r="M63">
        <f t="shared" ca="1" si="10"/>
        <v>426</v>
      </c>
      <c r="N63">
        <f t="shared" si="11"/>
        <v>240000</v>
      </c>
      <c r="O63" cm="1">
        <f t="array" ref="O63">LEVEL_POSSIBLE($G63, $H63, $B63, $X$3:$AB$16, $X$2:$AB$2)</f>
        <v>6</v>
      </c>
      <c r="P63">
        <f t="shared" ca="1" si="12"/>
        <v>0</v>
      </c>
      <c r="Q63" cm="1">
        <f t="array" ref="Q63">CARDS_NEEDED($G63, $H63, $B63, $X$3:$AB$16, $X$2:$AB$2, $O63)</f>
        <v>2</v>
      </c>
      <c r="R63">
        <f t="shared" si="13"/>
        <v>50000</v>
      </c>
      <c r="S63">
        <f t="shared" si="14"/>
        <v>6</v>
      </c>
      <c r="T63">
        <f t="shared" si="15"/>
        <v>30000</v>
      </c>
      <c r="AG63" t="s">
        <v>176</v>
      </c>
      <c r="AH63">
        <f>AH62/AH61</f>
        <v>0</v>
      </c>
      <c r="AI63">
        <f t="shared" ref="AI63:AJ63" si="17">AI62/AI61</f>
        <v>0</v>
      </c>
      <c r="AJ63">
        <f t="shared" si="17"/>
        <v>0</v>
      </c>
    </row>
    <row r="64" spans="1:36" x14ac:dyDescent="0.3">
      <c r="A64" t="s">
        <v>119</v>
      </c>
      <c r="B64" t="s">
        <v>9</v>
      </c>
      <c r="C64">
        <v>59</v>
      </c>
      <c r="D64" t="s">
        <v>146</v>
      </c>
      <c r="E64">
        <v>2</v>
      </c>
      <c r="F64">
        <v>2</v>
      </c>
      <c r="G64">
        <v>6</v>
      </c>
      <c r="H64">
        <v>0</v>
      </c>
      <c r="K64" s="3">
        <v>0</v>
      </c>
      <c r="L64">
        <f t="shared" ca="1" si="9"/>
        <v>426</v>
      </c>
      <c r="M64">
        <f t="shared" ca="1" si="10"/>
        <v>426</v>
      </c>
      <c r="N64">
        <f t="shared" si="11"/>
        <v>240000</v>
      </c>
      <c r="O64" cm="1">
        <f t="array" ref="O64">LEVEL_POSSIBLE($G64, $H64, $B64, $X$3:$AB$16, $X$2:$AB$2)</f>
        <v>6</v>
      </c>
      <c r="P64">
        <f t="shared" ca="1" si="12"/>
        <v>0</v>
      </c>
      <c r="Q64" cm="1">
        <f t="array" ref="Q64">CARDS_NEEDED($G64, $H64, $B64, $X$3:$AB$16, $X$2:$AB$2, $O64)</f>
        <v>2</v>
      </c>
      <c r="R64">
        <f t="shared" si="13"/>
        <v>50000</v>
      </c>
      <c r="S64">
        <f t="shared" si="14"/>
        <v>6</v>
      </c>
      <c r="T64">
        <f t="shared" si="15"/>
        <v>15000</v>
      </c>
      <c r="AG64" t="s">
        <v>177</v>
      </c>
      <c r="AH64">
        <f>1-AH63</f>
        <v>1</v>
      </c>
      <c r="AI64">
        <f t="shared" ref="AI64:AJ64" si="18">1-AI63</f>
        <v>1</v>
      </c>
      <c r="AJ64">
        <f t="shared" si="18"/>
        <v>1</v>
      </c>
    </row>
    <row r="65" spans="1:35" x14ac:dyDescent="0.3">
      <c r="A65" t="s">
        <v>104</v>
      </c>
      <c r="B65" t="s">
        <v>9</v>
      </c>
      <c r="C65">
        <v>60</v>
      </c>
      <c r="D65" t="s">
        <v>146</v>
      </c>
      <c r="E65">
        <v>0</v>
      </c>
      <c r="F65">
        <v>3</v>
      </c>
      <c r="G65">
        <v>6</v>
      </c>
      <c r="H65">
        <v>0</v>
      </c>
      <c r="K65" s="3">
        <v>0</v>
      </c>
      <c r="L65">
        <f t="shared" ca="1" si="9"/>
        <v>426</v>
      </c>
      <c r="M65">
        <f t="shared" ca="1" si="10"/>
        <v>426</v>
      </c>
      <c r="N65">
        <f t="shared" si="11"/>
        <v>240000</v>
      </c>
      <c r="O65" cm="1">
        <f t="array" ref="O65">LEVEL_POSSIBLE($G65, $H65, $B65, $X$3:$AB$16, $X$2:$AB$2)</f>
        <v>6</v>
      </c>
      <c r="P65">
        <f t="shared" ca="1" si="12"/>
        <v>0</v>
      </c>
      <c r="Q65" cm="1">
        <f t="array" ref="Q65">CARDS_NEEDED($G65, $H65, $B65, $X$3:$AB$16, $X$2:$AB$2, $O65)</f>
        <v>2</v>
      </c>
      <c r="R65">
        <f t="shared" si="13"/>
        <v>50000</v>
      </c>
      <c r="S65">
        <f t="shared" si="14"/>
        <v>6</v>
      </c>
      <c r="T65">
        <f t="shared" si="15"/>
        <v>30000</v>
      </c>
      <c r="AI65"/>
    </row>
    <row r="66" spans="1:35" x14ac:dyDescent="0.3">
      <c r="A66" t="s">
        <v>65</v>
      </c>
      <c r="B66" t="s">
        <v>7</v>
      </c>
      <c r="C66">
        <v>61</v>
      </c>
      <c r="D66" t="s">
        <v>146</v>
      </c>
      <c r="E66">
        <v>9</v>
      </c>
      <c r="F66">
        <v>2</v>
      </c>
      <c r="G66">
        <v>3</v>
      </c>
      <c r="H66">
        <v>0</v>
      </c>
      <c r="K66" s="3">
        <v>0</v>
      </c>
      <c r="L66">
        <f t="shared" ref="L66:L97" ca="1" si="19">SUM(OFFSET($X$3:$X$17, $G66, MATCH($B66, $X$2:$AB$2, 0) - 1, 16 - $G66, 1))</f>
        <v>3286</v>
      </c>
      <c r="M66">
        <f t="shared" ref="M66:M97" ca="1" si="20">$L66-$H66</f>
        <v>3286</v>
      </c>
      <c r="N66">
        <f t="shared" ref="N66:N97" si="21">SUMIFS($X$29:$X$41, $W$29:$W$41, "&gt;" &amp; $G66)</f>
        <v>240600</v>
      </c>
      <c r="O66" cm="1">
        <f t="array" ref="O66">LEVEL_POSSIBLE($G66, $H66, $B66, $X$3:$AB$16, $X$2:$AB$2)</f>
        <v>3</v>
      </c>
      <c r="P66">
        <f t="shared" ref="P66:P97" ca="1" si="22">IFERROR(SUM(OFFSET($X$28:$X$41,$G66,0,$O66 - $G66,1)),0)</f>
        <v>0</v>
      </c>
      <c r="Q66" cm="1">
        <f t="array" ref="Q66">CARDS_NEEDED($G66, $H66, $B66, $X$3:$AB$16, $X$2:$AB$2, $O66)</f>
        <v>2</v>
      </c>
      <c r="R66">
        <f t="shared" ref="R66:R97" si="23">IF(G66=15,0,50000-$I66)</f>
        <v>50000</v>
      </c>
      <c r="S66">
        <f t="shared" ref="S66:S97" si="24">6-J66</f>
        <v>6</v>
      </c>
      <c r="T66">
        <f t="shared" ref="T66:T97" si="25">SUMIFS($X$45:$X$47, $W$45:$W$47, "&gt;"&amp;K66, $W$45:$W$47, "&lt;="&amp;F66)</f>
        <v>15000</v>
      </c>
      <c r="AI66"/>
    </row>
    <row r="67" spans="1:35" x14ac:dyDescent="0.3">
      <c r="A67" t="s">
        <v>67</v>
      </c>
      <c r="B67" t="s">
        <v>7</v>
      </c>
      <c r="C67">
        <v>62</v>
      </c>
      <c r="D67" t="s">
        <v>146</v>
      </c>
      <c r="E67">
        <v>6</v>
      </c>
      <c r="F67">
        <v>2</v>
      </c>
      <c r="G67">
        <v>3</v>
      </c>
      <c r="H67">
        <v>0</v>
      </c>
      <c r="K67" s="3">
        <v>0</v>
      </c>
      <c r="L67">
        <f t="shared" ca="1" si="19"/>
        <v>3286</v>
      </c>
      <c r="M67">
        <f t="shared" ca="1" si="20"/>
        <v>3286</v>
      </c>
      <c r="N67">
        <f t="shared" si="21"/>
        <v>240600</v>
      </c>
      <c r="O67" cm="1">
        <f t="array" ref="O67">LEVEL_POSSIBLE($G67, $H67, $B67, $X$3:$AB$16, $X$2:$AB$2)</f>
        <v>3</v>
      </c>
      <c r="P67">
        <f t="shared" ca="1" si="22"/>
        <v>0</v>
      </c>
      <c r="Q67" cm="1">
        <f t="array" ref="Q67">CARDS_NEEDED($G67, $H67, $B67, $X$3:$AB$16, $X$2:$AB$2, $O67)</f>
        <v>2</v>
      </c>
      <c r="R67">
        <f t="shared" si="23"/>
        <v>50000</v>
      </c>
      <c r="S67">
        <f t="shared" si="24"/>
        <v>6</v>
      </c>
      <c r="T67">
        <f t="shared" si="25"/>
        <v>15000</v>
      </c>
      <c r="AI67"/>
    </row>
    <row r="68" spans="1:35" x14ac:dyDescent="0.3">
      <c r="A68" t="s">
        <v>66</v>
      </c>
      <c r="B68" t="s">
        <v>7</v>
      </c>
      <c r="C68">
        <v>63</v>
      </c>
      <c r="D68" t="s">
        <v>146</v>
      </c>
      <c r="E68">
        <v>6</v>
      </c>
      <c r="F68">
        <v>2</v>
      </c>
      <c r="G68">
        <v>3</v>
      </c>
      <c r="H68">
        <v>0</v>
      </c>
      <c r="K68" s="3">
        <v>0</v>
      </c>
      <c r="L68">
        <f t="shared" ca="1" si="19"/>
        <v>3286</v>
      </c>
      <c r="M68">
        <f t="shared" ca="1" si="20"/>
        <v>3286</v>
      </c>
      <c r="N68">
        <f t="shared" si="21"/>
        <v>240600</v>
      </c>
      <c r="O68" cm="1">
        <f t="array" ref="O68">LEVEL_POSSIBLE($G68, $H68, $B68, $X$3:$AB$16, $X$2:$AB$2)</f>
        <v>3</v>
      </c>
      <c r="P68">
        <f t="shared" ca="1" si="22"/>
        <v>0</v>
      </c>
      <c r="Q68" cm="1">
        <f t="array" ref="Q68">CARDS_NEEDED($G68, $H68, $B68, $X$3:$AB$16, $X$2:$AB$2, $O68)</f>
        <v>2</v>
      </c>
      <c r="R68">
        <f t="shared" si="23"/>
        <v>50000</v>
      </c>
      <c r="S68">
        <f t="shared" si="24"/>
        <v>6</v>
      </c>
      <c r="T68">
        <f t="shared" si="25"/>
        <v>15000</v>
      </c>
      <c r="AI68"/>
    </row>
    <row r="69" spans="1:35" x14ac:dyDescent="0.3">
      <c r="A69" t="s">
        <v>17</v>
      </c>
      <c r="B69" t="s">
        <v>7</v>
      </c>
      <c r="C69">
        <v>64</v>
      </c>
      <c r="D69" t="s">
        <v>146</v>
      </c>
      <c r="E69">
        <v>6</v>
      </c>
      <c r="F69">
        <v>3</v>
      </c>
      <c r="G69">
        <v>3</v>
      </c>
      <c r="H69">
        <v>0</v>
      </c>
      <c r="K69" s="3">
        <v>0</v>
      </c>
      <c r="L69">
        <f t="shared" ca="1" si="19"/>
        <v>3286</v>
      </c>
      <c r="M69">
        <f t="shared" ca="1" si="20"/>
        <v>3286</v>
      </c>
      <c r="N69">
        <f t="shared" si="21"/>
        <v>240600</v>
      </c>
      <c r="O69" cm="1">
        <f t="array" ref="O69">LEVEL_POSSIBLE($G69, $H69, $B69, $X$3:$AB$16, $X$2:$AB$2)</f>
        <v>3</v>
      </c>
      <c r="P69">
        <f t="shared" ca="1" si="22"/>
        <v>0</v>
      </c>
      <c r="Q69" cm="1">
        <f t="array" ref="Q69">CARDS_NEEDED($G69, $H69, $B69, $X$3:$AB$16, $X$2:$AB$2, $O69)</f>
        <v>2</v>
      </c>
      <c r="R69">
        <f t="shared" si="23"/>
        <v>50000</v>
      </c>
      <c r="S69">
        <f t="shared" si="24"/>
        <v>6</v>
      </c>
      <c r="T69">
        <f t="shared" si="25"/>
        <v>30000</v>
      </c>
      <c r="AI69"/>
    </row>
    <row r="70" spans="1:35" x14ac:dyDescent="0.3">
      <c r="A70" t="s">
        <v>98</v>
      </c>
      <c r="B70" t="s">
        <v>7</v>
      </c>
      <c r="C70">
        <v>65</v>
      </c>
      <c r="D70" t="s">
        <v>146</v>
      </c>
      <c r="E70">
        <v>5</v>
      </c>
      <c r="F70">
        <v>2</v>
      </c>
      <c r="G70">
        <v>3</v>
      </c>
      <c r="H70">
        <v>0</v>
      </c>
      <c r="K70" s="3">
        <v>0</v>
      </c>
      <c r="L70">
        <f t="shared" ca="1" si="19"/>
        <v>3286</v>
      </c>
      <c r="M70">
        <f t="shared" ca="1" si="20"/>
        <v>3286</v>
      </c>
      <c r="N70">
        <f t="shared" si="21"/>
        <v>240600</v>
      </c>
      <c r="O70" cm="1">
        <f t="array" ref="O70">LEVEL_POSSIBLE($G70, $H70, $B70, $X$3:$AB$16, $X$2:$AB$2)</f>
        <v>3</v>
      </c>
      <c r="P70">
        <f t="shared" ca="1" si="22"/>
        <v>0</v>
      </c>
      <c r="Q70" cm="1">
        <f t="array" ref="Q70">CARDS_NEEDED($G70, $H70, $B70, $X$3:$AB$16, $X$2:$AB$2, $O70)</f>
        <v>2</v>
      </c>
      <c r="R70">
        <f t="shared" si="23"/>
        <v>50000</v>
      </c>
      <c r="S70">
        <f t="shared" si="24"/>
        <v>6</v>
      </c>
      <c r="T70">
        <f t="shared" si="25"/>
        <v>15000</v>
      </c>
      <c r="AI70"/>
    </row>
    <row r="71" spans="1:35" x14ac:dyDescent="0.3">
      <c r="A71" t="s">
        <v>52</v>
      </c>
      <c r="B71" t="s">
        <v>7</v>
      </c>
      <c r="C71">
        <v>66</v>
      </c>
      <c r="D71" t="s">
        <v>146</v>
      </c>
      <c r="E71">
        <v>5</v>
      </c>
      <c r="F71">
        <v>2</v>
      </c>
      <c r="G71">
        <v>3</v>
      </c>
      <c r="H71">
        <v>0</v>
      </c>
      <c r="K71" s="3">
        <v>0</v>
      </c>
      <c r="L71">
        <f t="shared" ca="1" si="19"/>
        <v>3286</v>
      </c>
      <c r="M71">
        <f t="shared" ca="1" si="20"/>
        <v>3286</v>
      </c>
      <c r="N71">
        <f t="shared" si="21"/>
        <v>240600</v>
      </c>
      <c r="O71" cm="1">
        <f t="array" ref="O71">LEVEL_POSSIBLE($G71, $H71, $B71, $X$3:$AB$16, $X$2:$AB$2)</f>
        <v>3</v>
      </c>
      <c r="P71">
        <f t="shared" ca="1" si="22"/>
        <v>0</v>
      </c>
      <c r="Q71" cm="1">
        <f t="array" ref="Q71">CARDS_NEEDED($G71, $H71, $B71, $X$3:$AB$16, $X$2:$AB$2, $O71)</f>
        <v>2</v>
      </c>
      <c r="R71">
        <f t="shared" si="23"/>
        <v>50000</v>
      </c>
      <c r="S71">
        <f t="shared" si="24"/>
        <v>6</v>
      </c>
      <c r="T71">
        <f t="shared" si="25"/>
        <v>15000</v>
      </c>
      <c r="AI71"/>
    </row>
    <row r="72" spans="1:35" x14ac:dyDescent="0.3">
      <c r="A72" t="s">
        <v>51</v>
      </c>
      <c r="B72" t="s">
        <v>7</v>
      </c>
      <c r="C72">
        <v>67</v>
      </c>
      <c r="D72" t="s">
        <v>147</v>
      </c>
      <c r="E72">
        <v>5</v>
      </c>
      <c r="F72">
        <v>2</v>
      </c>
      <c r="G72">
        <v>3</v>
      </c>
      <c r="H72">
        <v>0</v>
      </c>
      <c r="J72">
        <v>0</v>
      </c>
      <c r="K72" s="3">
        <v>0</v>
      </c>
      <c r="L72">
        <f t="shared" ca="1" si="19"/>
        <v>3286</v>
      </c>
      <c r="M72">
        <f t="shared" ca="1" si="20"/>
        <v>3286</v>
      </c>
      <c r="N72">
        <f t="shared" si="21"/>
        <v>240600</v>
      </c>
      <c r="O72" cm="1">
        <f t="array" ref="O72">LEVEL_POSSIBLE($G72, $H72, $B72, $X$3:$AB$16, $X$2:$AB$2)</f>
        <v>3</v>
      </c>
      <c r="P72">
        <f t="shared" ca="1" si="22"/>
        <v>0</v>
      </c>
      <c r="Q72" cm="1">
        <f t="array" ref="Q72">CARDS_NEEDED($G72, $H72, $B72, $X$3:$AB$16, $X$2:$AB$2, $O72)</f>
        <v>2</v>
      </c>
      <c r="R72">
        <f t="shared" si="23"/>
        <v>50000</v>
      </c>
      <c r="S72">
        <f t="shared" si="24"/>
        <v>6</v>
      </c>
      <c r="T72">
        <f t="shared" si="25"/>
        <v>15000</v>
      </c>
      <c r="AI72"/>
    </row>
    <row r="73" spans="1:35" x14ac:dyDescent="0.3">
      <c r="A73" t="s">
        <v>13</v>
      </c>
      <c r="B73" t="s">
        <v>7</v>
      </c>
      <c r="C73">
        <v>68</v>
      </c>
      <c r="D73" t="s">
        <v>146</v>
      </c>
      <c r="E73">
        <v>5</v>
      </c>
      <c r="F73">
        <v>3</v>
      </c>
      <c r="G73">
        <v>3</v>
      </c>
      <c r="H73">
        <v>0</v>
      </c>
      <c r="K73" s="3">
        <v>0</v>
      </c>
      <c r="L73">
        <f t="shared" ca="1" si="19"/>
        <v>3286</v>
      </c>
      <c r="M73">
        <f t="shared" ca="1" si="20"/>
        <v>3286</v>
      </c>
      <c r="N73">
        <f t="shared" si="21"/>
        <v>240600</v>
      </c>
      <c r="O73" cm="1">
        <f t="array" ref="O73">LEVEL_POSSIBLE($G73, $H73, $B73, $X$3:$AB$16, $X$2:$AB$2)</f>
        <v>3</v>
      </c>
      <c r="P73">
        <f t="shared" ca="1" si="22"/>
        <v>0</v>
      </c>
      <c r="Q73" cm="1">
        <f t="array" ref="Q73">CARDS_NEEDED($G73, $H73, $B73, $X$3:$AB$16, $X$2:$AB$2, $O73)</f>
        <v>2</v>
      </c>
      <c r="R73">
        <f t="shared" si="23"/>
        <v>50000</v>
      </c>
      <c r="S73">
        <f t="shared" si="24"/>
        <v>6</v>
      </c>
      <c r="T73">
        <f t="shared" si="25"/>
        <v>30000</v>
      </c>
      <c r="AI73"/>
    </row>
    <row r="74" spans="1:35" x14ac:dyDescent="0.3">
      <c r="A74" t="s">
        <v>22</v>
      </c>
      <c r="B74" t="s">
        <v>7</v>
      </c>
      <c r="C74">
        <v>69</v>
      </c>
      <c r="D74" t="s">
        <v>146</v>
      </c>
      <c r="E74">
        <v>5</v>
      </c>
      <c r="F74">
        <v>2</v>
      </c>
      <c r="G74">
        <v>3</v>
      </c>
      <c r="H74">
        <v>0</v>
      </c>
      <c r="K74" s="3">
        <v>0</v>
      </c>
      <c r="L74">
        <f t="shared" ca="1" si="19"/>
        <v>3286</v>
      </c>
      <c r="M74">
        <f t="shared" ca="1" si="20"/>
        <v>3286</v>
      </c>
      <c r="N74">
        <f t="shared" si="21"/>
        <v>240600</v>
      </c>
      <c r="O74" cm="1">
        <f t="array" ref="O74">LEVEL_POSSIBLE($G74, $H74, $B74, $X$3:$AB$16, $X$2:$AB$2)</f>
        <v>3</v>
      </c>
      <c r="P74">
        <f t="shared" ca="1" si="22"/>
        <v>0</v>
      </c>
      <c r="Q74" cm="1">
        <f t="array" ref="Q74">CARDS_NEEDED($G74, $H74, $B74, $X$3:$AB$16, $X$2:$AB$2, $O74)</f>
        <v>2</v>
      </c>
      <c r="R74">
        <f t="shared" si="23"/>
        <v>50000</v>
      </c>
      <c r="S74">
        <f t="shared" si="24"/>
        <v>6</v>
      </c>
      <c r="T74">
        <f t="shared" si="25"/>
        <v>15000</v>
      </c>
      <c r="AI74"/>
    </row>
    <row r="75" spans="1:35" x14ac:dyDescent="0.3">
      <c r="A75" t="s">
        <v>73</v>
      </c>
      <c r="B75" t="s">
        <v>7</v>
      </c>
      <c r="C75">
        <v>70</v>
      </c>
      <c r="D75" t="s">
        <v>146</v>
      </c>
      <c r="E75">
        <v>4</v>
      </c>
      <c r="F75">
        <v>1</v>
      </c>
      <c r="G75">
        <v>3</v>
      </c>
      <c r="H75">
        <v>0</v>
      </c>
      <c r="K75" s="3">
        <v>0</v>
      </c>
      <c r="L75">
        <f t="shared" ca="1" si="19"/>
        <v>3286</v>
      </c>
      <c r="M75">
        <f t="shared" ca="1" si="20"/>
        <v>3286</v>
      </c>
      <c r="N75">
        <f t="shared" si="21"/>
        <v>240600</v>
      </c>
      <c r="O75" cm="1">
        <f t="array" ref="O75">LEVEL_POSSIBLE($G75, $H75, $B75, $X$3:$AB$16, $X$2:$AB$2)</f>
        <v>3</v>
      </c>
      <c r="P75">
        <f t="shared" ca="1" si="22"/>
        <v>0</v>
      </c>
      <c r="Q75" cm="1">
        <f t="array" ref="Q75">CARDS_NEEDED($G75, $H75, $B75, $X$3:$AB$16, $X$2:$AB$2, $O75)</f>
        <v>2</v>
      </c>
      <c r="R75">
        <f t="shared" si="23"/>
        <v>50000</v>
      </c>
      <c r="S75">
        <f t="shared" si="24"/>
        <v>6</v>
      </c>
      <c r="T75">
        <f t="shared" si="25"/>
        <v>5000</v>
      </c>
      <c r="AI75"/>
    </row>
    <row r="76" spans="1:35" x14ac:dyDescent="0.3">
      <c r="A76" t="s">
        <v>120</v>
      </c>
      <c r="B76" t="s">
        <v>7</v>
      </c>
      <c r="C76">
        <v>71</v>
      </c>
      <c r="D76" t="s">
        <v>146</v>
      </c>
      <c r="E76">
        <v>4</v>
      </c>
      <c r="F76">
        <v>1</v>
      </c>
      <c r="G76">
        <v>3</v>
      </c>
      <c r="H76">
        <v>0</v>
      </c>
      <c r="K76" s="3">
        <v>0</v>
      </c>
      <c r="L76">
        <f t="shared" ca="1" si="19"/>
        <v>3286</v>
      </c>
      <c r="M76">
        <f t="shared" ca="1" si="20"/>
        <v>3286</v>
      </c>
      <c r="N76">
        <f t="shared" si="21"/>
        <v>240600</v>
      </c>
      <c r="O76" cm="1">
        <f t="array" ref="O76">LEVEL_POSSIBLE($G76, $H76, $B76, $X$3:$AB$16, $X$2:$AB$2)</f>
        <v>3</v>
      </c>
      <c r="P76">
        <f t="shared" ca="1" si="22"/>
        <v>0</v>
      </c>
      <c r="Q76" cm="1">
        <f t="array" ref="Q76">CARDS_NEEDED($G76, $H76, $B76, $X$3:$AB$16, $X$2:$AB$2, $O76)</f>
        <v>2</v>
      </c>
      <c r="R76">
        <f t="shared" si="23"/>
        <v>50000</v>
      </c>
      <c r="S76">
        <f t="shared" si="24"/>
        <v>6</v>
      </c>
      <c r="T76">
        <f t="shared" si="25"/>
        <v>5000</v>
      </c>
      <c r="AI76"/>
    </row>
    <row r="77" spans="1:35" x14ac:dyDescent="0.3">
      <c r="A77" t="s">
        <v>49</v>
      </c>
      <c r="B77" t="s">
        <v>7</v>
      </c>
      <c r="C77">
        <v>72</v>
      </c>
      <c r="D77" t="s">
        <v>146</v>
      </c>
      <c r="E77">
        <v>4</v>
      </c>
      <c r="F77">
        <v>2</v>
      </c>
      <c r="G77">
        <v>3</v>
      </c>
      <c r="H77">
        <v>0</v>
      </c>
      <c r="K77" s="3">
        <v>0</v>
      </c>
      <c r="L77">
        <f t="shared" ca="1" si="19"/>
        <v>3286</v>
      </c>
      <c r="M77">
        <f t="shared" ca="1" si="20"/>
        <v>3286</v>
      </c>
      <c r="N77">
        <f t="shared" si="21"/>
        <v>240600</v>
      </c>
      <c r="O77" cm="1">
        <f t="array" ref="O77">LEVEL_POSSIBLE($G77, $H77, $B77, $X$3:$AB$16, $X$2:$AB$2)</f>
        <v>3</v>
      </c>
      <c r="P77">
        <f t="shared" ca="1" si="22"/>
        <v>0</v>
      </c>
      <c r="Q77" cm="1">
        <f t="array" ref="Q77">CARDS_NEEDED($G77, $H77, $B77, $X$3:$AB$16, $X$2:$AB$2, $O77)</f>
        <v>2</v>
      </c>
      <c r="R77">
        <f t="shared" si="23"/>
        <v>50000</v>
      </c>
      <c r="S77">
        <f t="shared" si="24"/>
        <v>6</v>
      </c>
      <c r="T77">
        <f t="shared" si="25"/>
        <v>15000</v>
      </c>
      <c r="AI77"/>
    </row>
    <row r="78" spans="1:35" x14ac:dyDescent="0.3">
      <c r="A78" t="s">
        <v>77</v>
      </c>
      <c r="B78" t="s">
        <v>7</v>
      </c>
      <c r="C78">
        <v>73</v>
      </c>
      <c r="D78" t="s">
        <v>146</v>
      </c>
      <c r="E78">
        <v>4</v>
      </c>
      <c r="F78">
        <v>1</v>
      </c>
      <c r="G78">
        <v>3</v>
      </c>
      <c r="H78">
        <v>0</v>
      </c>
      <c r="K78" s="3">
        <v>0</v>
      </c>
      <c r="L78">
        <f t="shared" ca="1" si="19"/>
        <v>3286</v>
      </c>
      <c r="M78">
        <f t="shared" ca="1" si="20"/>
        <v>3286</v>
      </c>
      <c r="N78">
        <f t="shared" si="21"/>
        <v>240600</v>
      </c>
      <c r="O78" cm="1">
        <f t="array" ref="O78">LEVEL_POSSIBLE($G78, $H78, $B78, $X$3:$AB$16, $X$2:$AB$2)</f>
        <v>3</v>
      </c>
      <c r="P78">
        <f t="shared" ca="1" si="22"/>
        <v>0</v>
      </c>
      <c r="Q78" cm="1">
        <f t="array" ref="Q78">CARDS_NEEDED($G78, $H78, $B78, $X$3:$AB$16, $X$2:$AB$2, $O78)</f>
        <v>2</v>
      </c>
      <c r="R78">
        <f t="shared" si="23"/>
        <v>50000</v>
      </c>
      <c r="S78">
        <f t="shared" si="24"/>
        <v>6</v>
      </c>
      <c r="T78">
        <f t="shared" si="25"/>
        <v>5000</v>
      </c>
      <c r="AI78"/>
    </row>
    <row r="79" spans="1:35" x14ac:dyDescent="0.3">
      <c r="A79" t="s">
        <v>105</v>
      </c>
      <c r="B79" t="s">
        <v>7</v>
      </c>
      <c r="C79">
        <v>74</v>
      </c>
      <c r="D79" t="s">
        <v>146</v>
      </c>
      <c r="E79">
        <v>4</v>
      </c>
      <c r="F79">
        <v>1</v>
      </c>
      <c r="G79">
        <v>3</v>
      </c>
      <c r="H79">
        <v>0</v>
      </c>
      <c r="K79" s="3">
        <v>0</v>
      </c>
      <c r="L79">
        <f t="shared" ca="1" si="19"/>
        <v>3286</v>
      </c>
      <c r="M79">
        <f t="shared" ca="1" si="20"/>
        <v>3286</v>
      </c>
      <c r="N79">
        <f t="shared" si="21"/>
        <v>240600</v>
      </c>
      <c r="O79" cm="1">
        <f t="array" ref="O79">LEVEL_POSSIBLE($G79, $H79, $B79, $X$3:$AB$16, $X$2:$AB$2)</f>
        <v>3</v>
      </c>
      <c r="P79">
        <f t="shared" ca="1" si="22"/>
        <v>0</v>
      </c>
      <c r="Q79" cm="1">
        <f t="array" ref="Q79">CARDS_NEEDED($G79, $H79, $B79, $X$3:$AB$16, $X$2:$AB$2, $O79)</f>
        <v>2</v>
      </c>
      <c r="R79">
        <f t="shared" si="23"/>
        <v>50000</v>
      </c>
      <c r="S79">
        <f t="shared" si="24"/>
        <v>6</v>
      </c>
      <c r="T79">
        <f t="shared" si="25"/>
        <v>5000</v>
      </c>
      <c r="AI79"/>
    </row>
    <row r="80" spans="1:35" x14ac:dyDescent="0.3">
      <c r="A80" t="s">
        <v>88</v>
      </c>
      <c r="B80" t="s">
        <v>7</v>
      </c>
      <c r="C80">
        <v>75</v>
      </c>
      <c r="D80" t="s">
        <v>146</v>
      </c>
      <c r="E80">
        <v>4</v>
      </c>
      <c r="F80">
        <v>3</v>
      </c>
      <c r="G80">
        <v>3</v>
      </c>
      <c r="H80">
        <v>0</v>
      </c>
      <c r="K80" s="3">
        <v>0</v>
      </c>
      <c r="L80">
        <f t="shared" ca="1" si="19"/>
        <v>3286</v>
      </c>
      <c r="M80">
        <f t="shared" ca="1" si="20"/>
        <v>3286</v>
      </c>
      <c r="N80">
        <f t="shared" si="21"/>
        <v>240600</v>
      </c>
      <c r="O80" cm="1">
        <f t="array" ref="O80">LEVEL_POSSIBLE($G80, $H80, $B80, $X$3:$AB$16, $X$2:$AB$2)</f>
        <v>3</v>
      </c>
      <c r="P80">
        <f t="shared" ca="1" si="22"/>
        <v>0</v>
      </c>
      <c r="Q80" cm="1">
        <f t="array" ref="Q80">CARDS_NEEDED($G80, $H80, $B80, $X$3:$AB$16, $X$2:$AB$2, $O80)</f>
        <v>2</v>
      </c>
      <c r="R80">
        <f t="shared" si="23"/>
        <v>50000</v>
      </c>
      <c r="S80">
        <f t="shared" si="24"/>
        <v>6</v>
      </c>
      <c r="T80">
        <f t="shared" si="25"/>
        <v>30000</v>
      </c>
      <c r="AI80"/>
    </row>
    <row r="81" spans="1:35" x14ac:dyDescent="0.3">
      <c r="A81" t="s">
        <v>68</v>
      </c>
      <c r="B81" t="s">
        <v>7</v>
      </c>
      <c r="C81">
        <v>76</v>
      </c>
      <c r="D81" t="s">
        <v>146</v>
      </c>
      <c r="E81">
        <v>4</v>
      </c>
      <c r="F81">
        <v>1</v>
      </c>
      <c r="G81">
        <v>3</v>
      </c>
      <c r="H81">
        <v>0</v>
      </c>
      <c r="K81" s="3">
        <v>0</v>
      </c>
      <c r="L81">
        <f t="shared" ca="1" si="19"/>
        <v>3286</v>
      </c>
      <c r="M81">
        <f t="shared" ca="1" si="20"/>
        <v>3286</v>
      </c>
      <c r="N81">
        <f t="shared" si="21"/>
        <v>240600</v>
      </c>
      <c r="O81" cm="1">
        <f t="array" ref="O81">LEVEL_POSSIBLE($G81, $H81, $B81, $X$3:$AB$16, $X$2:$AB$2)</f>
        <v>3</v>
      </c>
      <c r="P81">
        <f t="shared" ca="1" si="22"/>
        <v>0</v>
      </c>
      <c r="Q81" cm="1">
        <f t="array" ref="Q81">CARDS_NEEDED($G81, $H81, $B81, $X$3:$AB$16, $X$2:$AB$2, $O81)</f>
        <v>2</v>
      </c>
      <c r="R81">
        <f t="shared" si="23"/>
        <v>50000</v>
      </c>
      <c r="S81">
        <f t="shared" si="24"/>
        <v>6</v>
      </c>
      <c r="T81">
        <f t="shared" si="25"/>
        <v>5000</v>
      </c>
      <c r="AI81"/>
    </row>
    <row r="82" spans="1:35" x14ac:dyDescent="0.3">
      <c r="A82" t="s">
        <v>121</v>
      </c>
      <c r="B82" t="s">
        <v>7</v>
      </c>
      <c r="C82">
        <v>77</v>
      </c>
      <c r="D82" t="s">
        <v>147</v>
      </c>
      <c r="E82">
        <v>4</v>
      </c>
      <c r="F82">
        <v>2</v>
      </c>
      <c r="G82">
        <v>3</v>
      </c>
      <c r="H82">
        <v>0</v>
      </c>
      <c r="J82">
        <v>0</v>
      </c>
      <c r="K82" s="3">
        <v>0</v>
      </c>
      <c r="L82">
        <f t="shared" ca="1" si="19"/>
        <v>3286</v>
      </c>
      <c r="M82">
        <f t="shared" ca="1" si="20"/>
        <v>3286</v>
      </c>
      <c r="N82">
        <f t="shared" si="21"/>
        <v>240600</v>
      </c>
      <c r="O82" cm="1">
        <f t="array" ref="O82">LEVEL_POSSIBLE($G82, $H82, $B82, $X$3:$AB$16, $X$2:$AB$2)</f>
        <v>3</v>
      </c>
      <c r="P82">
        <f t="shared" ca="1" si="22"/>
        <v>0</v>
      </c>
      <c r="Q82" cm="1">
        <f t="array" ref="Q82">CARDS_NEEDED($G82, $H82, $B82, $X$3:$AB$16, $X$2:$AB$2, $O82)</f>
        <v>2</v>
      </c>
      <c r="R82">
        <f t="shared" si="23"/>
        <v>50000</v>
      </c>
      <c r="S82">
        <f t="shared" si="24"/>
        <v>6</v>
      </c>
      <c r="T82">
        <f t="shared" si="25"/>
        <v>15000</v>
      </c>
      <c r="AI82"/>
    </row>
    <row r="83" spans="1:35" x14ac:dyDescent="0.3">
      <c r="A83" t="s">
        <v>55</v>
      </c>
      <c r="B83" t="s">
        <v>7</v>
      </c>
      <c r="C83">
        <v>78</v>
      </c>
      <c r="D83" t="s">
        <v>147</v>
      </c>
      <c r="E83">
        <v>4</v>
      </c>
      <c r="F83">
        <v>2</v>
      </c>
      <c r="G83">
        <v>3</v>
      </c>
      <c r="H83">
        <v>0</v>
      </c>
      <c r="J83">
        <v>0</v>
      </c>
      <c r="K83" s="3">
        <v>0</v>
      </c>
      <c r="L83">
        <f t="shared" ca="1" si="19"/>
        <v>3286</v>
      </c>
      <c r="M83">
        <f t="shared" ca="1" si="20"/>
        <v>3286</v>
      </c>
      <c r="N83">
        <f t="shared" si="21"/>
        <v>240600</v>
      </c>
      <c r="O83" cm="1">
        <f t="array" ref="O83">LEVEL_POSSIBLE($G83, $H83, $B83, $X$3:$AB$16, $X$2:$AB$2)</f>
        <v>3</v>
      </c>
      <c r="P83">
        <f t="shared" ca="1" si="22"/>
        <v>0</v>
      </c>
      <c r="Q83" cm="1">
        <f t="array" ref="Q83">CARDS_NEEDED($G83, $H83, $B83, $X$3:$AB$16, $X$2:$AB$2, $O83)</f>
        <v>2</v>
      </c>
      <c r="R83">
        <f t="shared" si="23"/>
        <v>50000</v>
      </c>
      <c r="S83">
        <f t="shared" si="24"/>
        <v>6</v>
      </c>
      <c r="T83">
        <f t="shared" si="25"/>
        <v>15000</v>
      </c>
      <c r="AI83"/>
    </row>
    <row r="84" spans="1:35" x14ac:dyDescent="0.3">
      <c r="A84" t="s">
        <v>99</v>
      </c>
      <c r="B84" t="s">
        <v>7</v>
      </c>
      <c r="C84">
        <v>79</v>
      </c>
      <c r="D84" t="s">
        <v>146</v>
      </c>
      <c r="E84">
        <v>4</v>
      </c>
      <c r="F84">
        <v>2</v>
      </c>
      <c r="G84">
        <v>3</v>
      </c>
      <c r="H84">
        <v>0</v>
      </c>
      <c r="K84" s="3">
        <v>0</v>
      </c>
      <c r="L84">
        <f t="shared" ca="1" si="19"/>
        <v>3286</v>
      </c>
      <c r="M84">
        <f t="shared" ca="1" si="20"/>
        <v>3286</v>
      </c>
      <c r="N84">
        <f t="shared" si="21"/>
        <v>240600</v>
      </c>
      <c r="O84" cm="1">
        <f t="array" ref="O84">LEVEL_POSSIBLE($G84, $H84, $B84, $X$3:$AB$16, $X$2:$AB$2)</f>
        <v>3</v>
      </c>
      <c r="P84">
        <f t="shared" ca="1" si="22"/>
        <v>0</v>
      </c>
      <c r="Q84" cm="1">
        <f t="array" ref="Q84">CARDS_NEEDED($G84, $H84, $B84, $X$3:$AB$16, $X$2:$AB$2, $O84)</f>
        <v>2</v>
      </c>
      <c r="R84">
        <f t="shared" si="23"/>
        <v>50000</v>
      </c>
      <c r="S84">
        <f t="shared" si="24"/>
        <v>6</v>
      </c>
      <c r="T84">
        <f t="shared" si="25"/>
        <v>15000</v>
      </c>
      <c r="AI84"/>
    </row>
    <row r="85" spans="1:35" x14ac:dyDescent="0.3">
      <c r="A85" t="s">
        <v>95</v>
      </c>
      <c r="B85" t="s">
        <v>7</v>
      </c>
      <c r="C85">
        <v>80</v>
      </c>
      <c r="D85" t="s">
        <v>147</v>
      </c>
      <c r="E85">
        <v>4</v>
      </c>
      <c r="F85">
        <v>3</v>
      </c>
      <c r="G85">
        <v>3</v>
      </c>
      <c r="H85">
        <v>0</v>
      </c>
      <c r="J85">
        <v>0</v>
      </c>
      <c r="K85" s="3">
        <v>0</v>
      </c>
      <c r="L85">
        <f t="shared" ca="1" si="19"/>
        <v>3286</v>
      </c>
      <c r="M85">
        <f t="shared" ca="1" si="20"/>
        <v>3286</v>
      </c>
      <c r="N85">
        <f t="shared" si="21"/>
        <v>240600</v>
      </c>
      <c r="O85" cm="1">
        <f t="array" ref="O85">LEVEL_POSSIBLE($G85, $H85, $B85, $X$3:$AB$16, $X$2:$AB$2)</f>
        <v>3</v>
      </c>
      <c r="P85">
        <f t="shared" ca="1" si="22"/>
        <v>0</v>
      </c>
      <c r="Q85" cm="1">
        <f t="array" ref="Q85">CARDS_NEEDED($G85, $H85, $B85, $X$3:$AB$16, $X$2:$AB$2, $O85)</f>
        <v>2</v>
      </c>
      <c r="R85">
        <f t="shared" si="23"/>
        <v>50000</v>
      </c>
      <c r="S85">
        <f t="shared" si="24"/>
        <v>6</v>
      </c>
      <c r="T85">
        <f t="shared" si="25"/>
        <v>30000</v>
      </c>
      <c r="AI85"/>
    </row>
    <row r="86" spans="1:35" x14ac:dyDescent="0.3">
      <c r="A86" t="s">
        <v>20</v>
      </c>
      <c r="B86" t="s">
        <v>7</v>
      </c>
      <c r="C86">
        <v>81</v>
      </c>
      <c r="D86" t="s">
        <v>146</v>
      </c>
      <c r="E86">
        <v>4</v>
      </c>
      <c r="F86">
        <v>2</v>
      </c>
      <c r="G86">
        <v>3</v>
      </c>
      <c r="H86">
        <v>0</v>
      </c>
      <c r="K86" s="3">
        <v>0</v>
      </c>
      <c r="L86">
        <f t="shared" ca="1" si="19"/>
        <v>3286</v>
      </c>
      <c r="M86">
        <f t="shared" ca="1" si="20"/>
        <v>3286</v>
      </c>
      <c r="N86">
        <f t="shared" si="21"/>
        <v>240600</v>
      </c>
      <c r="O86" cm="1">
        <f t="array" ref="O86">LEVEL_POSSIBLE($G86, $H86, $B86, $X$3:$AB$16, $X$2:$AB$2)</f>
        <v>3</v>
      </c>
      <c r="P86">
        <f t="shared" ca="1" si="22"/>
        <v>0</v>
      </c>
      <c r="Q86" cm="1">
        <f t="array" ref="Q86">CARDS_NEEDED($G86, $H86, $B86, $X$3:$AB$16, $X$2:$AB$2, $O86)</f>
        <v>2</v>
      </c>
      <c r="R86">
        <f t="shared" si="23"/>
        <v>50000</v>
      </c>
      <c r="S86">
        <f t="shared" si="24"/>
        <v>6</v>
      </c>
      <c r="T86">
        <f t="shared" si="25"/>
        <v>15000</v>
      </c>
      <c r="AI86"/>
    </row>
    <row r="87" spans="1:35" x14ac:dyDescent="0.3">
      <c r="A87" t="s">
        <v>90</v>
      </c>
      <c r="B87" t="s">
        <v>7</v>
      </c>
      <c r="C87">
        <v>82</v>
      </c>
      <c r="D87" t="s">
        <v>147</v>
      </c>
      <c r="E87">
        <v>4</v>
      </c>
      <c r="F87">
        <v>2</v>
      </c>
      <c r="G87">
        <v>3</v>
      </c>
      <c r="H87">
        <v>0</v>
      </c>
      <c r="J87">
        <v>0</v>
      </c>
      <c r="K87" s="3">
        <v>0</v>
      </c>
      <c r="L87">
        <f t="shared" ca="1" si="19"/>
        <v>3286</v>
      </c>
      <c r="M87">
        <f t="shared" ca="1" si="20"/>
        <v>3286</v>
      </c>
      <c r="N87">
        <f t="shared" si="21"/>
        <v>240600</v>
      </c>
      <c r="O87" cm="1">
        <f t="array" ref="O87">LEVEL_POSSIBLE($G87, $H87, $B87, $X$3:$AB$16, $X$2:$AB$2)</f>
        <v>3</v>
      </c>
      <c r="P87">
        <f t="shared" ca="1" si="22"/>
        <v>0</v>
      </c>
      <c r="Q87" cm="1">
        <f t="array" ref="Q87">CARDS_NEEDED($G87, $H87, $B87, $X$3:$AB$16, $X$2:$AB$2, $O87)</f>
        <v>2</v>
      </c>
      <c r="R87">
        <f t="shared" si="23"/>
        <v>50000</v>
      </c>
      <c r="S87">
        <f t="shared" si="24"/>
        <v>6</v>
      </c>
      <c r="T87">
        <f t="shared" si="25"/>
        <v>15000</v>
      </c>
      <c r="AI87"/>
    </row>
    <row r="88" spans="1:35" x14ac:dyDescent="0.3">
      <c r="A88" t="s">
        <v>75</v>
      </c>
      <c r="B88" t="s">
        <v>7</v>
      </c>
      <c r="C88">
        <v>83</v>
      </c>
      <c r="D88" t="s">
        <v>146</v>
      </c>
      <c r="E88">
        <v>3</v>
      </c>
      <c r="F88">
        <v>1</v>
      </c>
      <c r="G88">
        <v>3</v>
      </c>
      <c r="H88">
        <v>0</v>
      </c>
      <c r="K88" s="3">
        <v>0</v>
      </c>
      <c r="L88">
        <f t="shared" ca="1" si="19"/>
        <v>3286</v>
      </c>
      <c r="M88">
        <f t="shared" ca="1" si="20"/>
        <v>3286</v>
      </c>
      <c r="N88">
        <f t="shared" si="21"/>
        <v>240600</v>
      </c>
      <c r="O88" cm="1">
        <f t="array" ref="O88">LEVEL_POSSIBLE($G88, $H88, $B88, $X$3:$AB$16, $X$2:$AB$2)</f>
        <v>3</v>
      </c>
      <c r="P88">
        <f t="shared" ca="1" si="22"/>
        <v>0</v>
      </c>
      <c r="Q88" cm="1">
        <f t="array" ref="Q88">CARDS_NEEDED($G88, $H88, $B88, $X$3:$AB$16, $X$2:$AB$2, $O88)</f>
        <v>2</v>
      </c>
      <c r="R88">
        <f t="shared" si="23"/>
        <v>50000</v>
      </c>
      <c r="S88">
        <f t="shared" si="24"/>
        <v>6</v>
      </c>
      <c r="T88">
        <f t="shared" si="25"/>
        <v>5000</v>
      </c>
      <c r="AI88"/>
    </row>
    <row r="89" spans="1:35" x14ac:dyDescent="0.3">
      <c r="A89" t="s">
        <v>122</v>
      </c>
      <c r="B89" t="s">
        <v>7</v>
      </c>
      <c r="C89">
        <v>84</v>
      </c>
      <c r="D89" t="s">
        <v>146</v>
      </c>
      <c r="E89">
        <v>3</v>
      </c>
      <c r="F89">
        <v>3</v>
      </c>
      <c r="G89">
        <v>3</v>
      </c>
      <c r="H89">
        <v>0</v>
      </c>
      <c r="K89" s="3">
        <v>0</v>
      </c>
      <c r="L89">
        <f t="shared" ca="1" si="19"/>
        <v>3286</v>
      </c>
      <c r="M89">
        <f t="shared" ca="1" si="20"/>
        <v>3286</v>
      </c>
      <c r="N89">
        <f t="shared" si="21"/>
        <v>240600</v>
      </c>
      <c r="O89" cm="1">
        <f t="array" ref="O89">LEVEL_POSSIBLE($G89, $H89, $B89, $X$3:$AB$16, $X$2:$AB$2)</f>
        <v>3</v>
      </c>
      <c r="P89">
        <f t="shared" ca="1" si="22"/>
        <v>0</v>
      </c>
      <c r="Q89" cm="1">
        <f t="array" ref="Q89">CARDS_NEEDED($G89, $H89, $B89, $X$3:$AB$16, $X$2:$AB$2, $O89)</f>
        <v>2</v>
      </c>
      <c r="R89">
        <f t="shared" si="23"/>
        <v>50000</v>
      </c>
      <c r="S89">
        <f t="shared" si="24"/>
        <v>6</v>
      </c>
      <c r="T89">
        <f t="shared" si="25"/>
        <v>30000</v>
      </c>
      <c r="AI89"/>
    </row>
    <row r="90" spans="1:35" x14ac:dyDescent="0.3">
      <c r="A90" t="s">
        <v>2</v>
      </c>
      <c r="B90" t="s">
        <v>7</v>
      </c>
      <c r="C90">
        <v>85</v>
      </c>
      <c r="D90" t="s">
        <v>147</v>
      </c>
      <c r="E90">
        <v>3</v>
      </c>
      <c r="F90">
        <v>2</v>
      </c>
      <c r="G90">
        <v>3</v>
      </c>
      <c r="H90">
        <v>0</v>
      </c>
      <c r="J90">
        <v>0</v>
      </c>
      <c r="K90" s="3">
        <v>0</v>
      </c>
      <c r="L90">
        <f t="shared" ca="1" si="19"/>
        <v>3286</v>
      </c>
      <c r="M90">
        <f t="shared" ca="1" si="20"/>
        <v>3286</v>
      </c>
      <c r="N90">
        <f t="shared" si="21"/>
        <v>240600</v>
      </c>
      <c r="O90" cm="1">
        <f t="array" ref="O90">LEVEL_POSSIBLE($G90, $H90, $B90, $X$3:$AB$16, $X$2:$AB$2)</f>
        <v>3</v>
      </c>
      <c r="P90">
        <f t="shared" ca="1" si="22"/>
        <v>0</v>
      </c>
      <c r="Q90" cm="1">
        <f t="array" ref="Q90">CARDS_NEEDED($G90, $H90, $B90, $X$3:$AB$16, $X$2:$AB$2, $O90)</f>
        <v>2</v>
      </c>
      <c r="R90">
        <f t="shared" si="23"/>
        <v>50000</v>
      </c>
      <c r="S90">
        <f t="shared" si="24"/>
        <v>6</v>
      </c>
      <c r="T90">
        <f t="shared" si="25"/>
        <v>15000</v>
      </c>
      <c r="AI90"/>
    </row>
    <row r="91" spans="1:35" x14ac:dyDescent="0.3">
      <c r="A91" t="s">
        <v>1</v>
      </c>
      <c r="B91" t="s">
        <v>7</v>
      </c>
      <c r="C91">
        <v>86</v>
      </c>
      <c r="D91" t="s">
        <v>146</v>
      </c>
      <c r="E91">
        <v>3</v>
      </c>
      <c r="F91">
        <v>2</v>
      </c>
      <c r="G91">
        <v>3</v>
      </c>
      <c r="H91">
        <v>0</v>
      </c>
      <c r="K91" s="3">
        <v>0</v>
      </c>
      <c r="L91">
        <f t="shared" ca="1" si="19"/>
        <v>3286</v>
      </c>
      <c r="M91">
        <f t="shared" ca="1" si="20"/>
        <v>3286</v>
      </c>
      <c r="N91">
        <f t="shared" si="21"/>
        <v>240600</v>
      </c>
      <c r="O91" cm="1">
        <f t="array" ref="O91">LEVEL_POSSIBLE($G91, $H91, $B91, $X$3:$AB$16, $X$2:$AB$2)</f>
        <v>3</v>
      </c>
      <c r="P91">
        <f t="shared" ca="1" si="22"/>
        <v>0</v>
      </c>
      <c r="Q91" cm="1">
        <f t="array" ref="Q91">CARDS_NEEDED($G91, $H91, $B91, $X$3:$AB$16, $X$2:$AB$2, $O91)</f>
        <v>2</v>
      </c>
      <c r="R91">
        <f t="shared" si="23"/>
        <v>50000</v>
      </c>
      <c r="S91">
        <f t="shared" si="24"/>
        <v>6</v>
      </c>
      <c r="T91">
        <f t="shared" si="25"/>
        <v>15000</v>
      </c>
      <c r="AI91"/>
    </row>
    <row r="92" spans="1:35" x14ac:dyDescent="0.3">
      <c r="A92" t="s">
        <v>123</v>
      </c>
      <c r="B92" t="s">
        <v>7</v>
      </c>
      <c r="C92">
        <v>87</v>
      </c>
      <c r="D92" t="s">
        <v>146</v>
      </c>
      <c r="E92">
        <v>3</v>
      </c>
      <c r="F92">
        <v>2</v>
      </c>
      <c r="G92">
        <v>3</v>
      </c>
      <c r="H92">
        <v>0</v>
      </c>
      <c r="K92" s="3">
        <v>0</v>
      </c>
      <c r="L92">
        <f t="shared" ca="1" si="19"/>
        <v>3286</v>
      </c>
      <c r="M92">
        <f t="shared" ca="1" si="20"/>
        <v>3286</v>
      </c>
      <c r="N92">
        <f t="shared" si="21"/>
        <v>240600</v>
      </c>
      <c r="O92" cm="1">
        <f t="array" ref="O92">LEVEL_POSSIBLE($G92, $H92, $B92, $X$3:$AB$16, $X$2:$AB$2)</f>
        <v>3</v>
      </c>
      <c r="P92">
        <f t="shared" ca="1" si="22"/>
        <v>0</v>
      </c>
      <c r="Q92" cm="1">
        <f t="array" ref="Q92">CARDS_NEEDED($G92, $H92, $B92, $X$3:$AB$16, $X$2:$AB$2, $O92)</f>
        <v>2</v>
      </c>
      <c r="R92">
        <f t="shared" si="23"/>
        <v>50000</v>
      </c>
      <c r="S92">
        <f t="shared" si="24"/>
        <v>6</v>
      </c>
      <c r="T92">
        <f t="shared" si="25"/>
        <v>15000</v>
      </c>
      <c r="AI92"/>
    </row>
    <row r="93" spans="1:35" x14ac:dyDescent="0.3">
      <c r="A93" t="s">
        <v>78</v>
      </c>
      <c r="B93" t="s">
        <v>7</v>
      </c>
      <c r="C93">
        <v>88</v>
      </c>
      <c r="D93" t="s">
        <v>146</v>
      </c>
      <c r="E93">
        <v>2</v>
      </c>
      <c r="F93">
        <v>1</v>
      </c>
      <c r="G93">
        <v>3</v>
      </c>
      <c r="H93">
        <v>0</v>
      </c>
      <c r="K93" s="3">
        <v>0</v>
      </c>
      <c r="L93">
        <f t="shared" ca="1" si="19"/>
        <v>3286</v>
      </c>
      <c r="M93">
        <f t="shared" ca="1" si="20"/>
        <v>3286</v>
      </c>
      <c r="N93">
        <f t="shared" si="21"/>
        <v>240600</v>
      </c>
      <c r="O93" cm="1">
        <f t="array" ref="O93">LEVEL_POSSIBLE($G93, $H93, $B93, $X$3:$AB$16, $X$2:$AB$2)</f>
        <v>3</v>
      </c>
      <c r="P93">
        <f t="shared" ca="1" si="22"/>
        <v>0</v>
      </c>
      <c r="Q93" cm="1">
        <f t="array" ref="Q93">CARDS_NEEDED($G93, $H93, $B93, $X$3:$AB$16, $X$2:$AB$2, $O93)</f>
        <v>2</v>
      </c>
      <c r="R93">
        <f t="shared" si="23"/>
        <v>50000</v>
      </c>
      <c r="S93">
        <f t="shared" si="24"/>
        <v>6</v>
      </c>
      <c r="T93">
        <f t="shared" si="25"/>
        <v>5000</v>
      </c>
      <c r="AI93"/>
    </row>
    <row r="94" spans="1:35" x14ac:dyDescent="0.3">
      <c r="A94" t="s">
        <v>91</v>
      </c>
      <c r="B94" t="s">
        <v>7</v>
      </c>
      <c r="C94">
        <v>89</v>
      </c>
      <c r="D94" t="s">
        <v>146</v>
      </c>
      <c r="E94">
        <v>2</v>
      </c>
      <c r="F94">
        <v>1</v>
      </c>
      <c r="G94">
        <v>3</v>
      </c>
      <c r="H94">
        <v>0</v>
      </c>
      <c r="K94" s="3">
        <v>0</v>
      </c>
      <c r="L94">
        <f t="shared" ca="1" si="19"/>
        <v>3286</v>
      </c>
      <c r="M94">
        <f t="shared" ca="1" si="20"/>
        <v>3286</v>
      </c>
      <c r="N94">
        <f t="shared" si="21"/>
        <v>240600</v>
      </c>
      <c r="O94" cm="1">
        <f t="array" ref="O94">LEVEL_POSSIBLE($G94, $H94, $B94, $X$3:$AB$16, $X$2:$AB$2)</f>
        <v>3</v>
      </c>
      <c r="P94">
        <f t="shared" ca="1" si="22"/>
        <v>0</v>
      </c>
      <c r="Q94" cm="1">
        <f t="array" ref="Q94">CARDS_NEEDED($G94, $H94, $B94, $X$3:$AB$16, $X$2:$AB$2, $O94)</f>
        <v>2</v>
      </c>
      <c r="R94">
        <f t="shared" si="23"/>
        <v>50000</v>
      </c>
      <c r="S94">
        <f t="shared" si="24"/>
        <v>6</v>
      </c>
      <c r="T94">
        <f t="shared" si="25"/>
        <v>5000</v>
      </c>
      <c r="AI94"/>
    </row>
    <row r="95" spans="1:35" x14ac:dyDescent="0.3">
      <c r="A95" t="s">
        <v>53</v>
      </c>
      <c r="B95" t="s">
        <v>7</v>
      </c>
      <c r="C95">
        <v>90</v>
      </c>
      <c r="D95" t="s">
        <v>146</v>
      </c>
      <c r="E95">
        <v>1</v>
      </c>
      <c r="F95">
        <v>1</v>
      </c>
      <c r="G95">
        <v>3</v>
      </c>
      <c r="H95">
        <v>0</v>
      </c>
      <c r="K95" s="3">
        <v>0</v>
      </c>
      <c r="L95">
        <f t="shared" ca="1" si="19"/>
        <v>3286</v>
      </c>
      <c r="M95">
        <f t="shared" ca="1" si="20"/>
        <v>3286</v>
      </c>
      <c r="N95">
        <f t="shared" si="21"/>
        <v>240600</v>
      </c>
      <c r="O95" cm="1">
        <f t="array" ref="O95">LEVEL_POSSIBLE($G95, $H95, $B95, $X$3:$AB$16, $X$2:$AB$2)</f>
        <v>3</v>
      </c>
      <c r="P95">
        <f t="shared" ca="1" si="22"/>
        <v>0</v>
      </c>
      <c r="Q95" cm="1">
        <f t="array" ref="Q95">CARDS_NEEDED($G95, $H95, $B95, $X$3:$AB$16, $X$2:$AB$2, $O95)</f>
        <v>2</v>
      </c>
      <c r="R95">
        <f t="shared" si="23"/>
        <v>50000</v>
      </c>
      <c r="S95">
        <f t="shared" si="24"/>
        <v>6</v>
      </c>
      <c r="T95">
        <f t="shared" si="25"/>
        <v>5000</v>
      </c>
      <c r="AI95"/>
    </row>
    <row r="96" spans="1:35" x14ac:dyDescent="0.3">
      <c r="A96" t="s">
        <v>100</v>
      </c>
      <c r="B96" t="s">
        <v>8</v>
      </c>
      <c r="C96">
        <v>91</v>
      </c>
      <c r="D96" t="s">
        <v>147</v>
      </c>
      <c r="E96">
        <v>7</v>
      </c>
      <c r="F96">
        <v>2</v>
      </c>
      <c r="G96">
        <v>1</v>
      </c>
      <c r="H96">
        <v>0</v>
      </c>
      <c r="J96">
        <v>0</v>
      </c>
      <c r="K96" s="3">
        <v>0</v>
      </c>
      <c r="L96">
        <f t="shared" ca="1" si="19"/>
        <v>12086</v>
      </c>
      <c r="M96">
        <f t="shared" ca="1" si="20"/>
        <v>12086</v>
      </c>
      <c r="N96">
        <f t="shared" si="21"/>
        <v>240625</v>
      </c>
      <c r="O96" cm="1">
        <f t="array" ref="O96">LEVEL_POSSIBLE($G96, $H96, $B96, $X$3:$AB$16, $X$2:$AB$2)</f>
        <v>1</v>
      </c>
      <c r="P96">
        <f t="shared" ca="1" si="22"/>
        <v>0</v>
      </c>
      <c r="Q96" cm="1">
        <f t="array" ref="Q96">CARDS_NEEDED($G96, $H96, $B96, $X$3:$AB$16, $X$2:$AB$2, $O96)</f>
        <v>2</v>
      </c>
      <c r="R96">
        <f t="shared" si="23"/>
        <v>50000</v>
      </c>
      <c r="S96">
        <f t="shared" si="24"/>
        <v>6</v>
      </c>
      <c r="T96">
        <f t="shared" si="25"/>
        <v>15000</v>
      </c>
      <c r="AI96"/>
    </row>
    <row r="97" spans="1:35" x14ac:dyDescent="0.3">
      <c r="A97" t="s">
        <v>47</v>
      </c>
      <c r="B97" t="s">
        <v>8</v>
      </c>
      <c r="C97">
        <v>92</v>
      </c>
      <c r="D97" t="s">
        <v>146</v>
      </c>
      <c r="E97">
        <v>6</v>
      </c>
      <c r="F97">
        <v>2</v>
      </c>
      <c r="G97">
        <v>1</v>
      </c>
      <c r="H97">
        <v>0</v>
      </c>
      <c r="K97" s="3">
        <v>0</v>
      </c>
      <c r="L97">
        <f t="shared" ca="1" si="19"/>
        <v>12086</v>
      </c>
      <c r="M97">
        <f t="shared" ca="1" si="20"/>
        <v>12086</v>
      </c>
      <c r="N97">
        <f t="shared" si="21"/>
        <v>240625</v>
      </c>
      <c r="O97" cm="1">
        <f t="array" ref="O97">LEVEL_POSSIBLE($G97, $H97, $B97, $X$3:$AB$16, $X$2:$AB$2)</f>
        <v>1</v>
      </c>
      <c r="P97">
        <f t="shared" ca="1" si="22"/>
        <v>0</v>
      </c>
      <c r="Q97" cm="1">
        <f t="array" ref="Q97">CARDS_NEEDED($G97, $H97, $B97, $X$3:$AB$16, $X$2:$AB$2, $O97)</f>
        <v>2</v>
      </c>
      <c r="R97">
        <f t="shared" si="23"/>
        <v>50000</v>
      </c>
      <c r="S97">
        <f t="shared" si="24"/>
        <v>6</v>
      </c>
      <c r="T97">
        <f t="shared" si="25"/>
        <v>15000</v>
      </c>
      <c r="AI97"/>
    </row>
    <row r="98" spans="1:35" x14ac:dyDescent="0.3">
      <c r="A98" t="s">
        <v>63</v>
      </c>
      <c r="B98" t="s">
        <v>8</v>
      </c>
      <c r="C98">
        <v>93</v>
      </c>
      <c r="D98" t="s">
        <v>147</v>
      </c>
      <c r="E98">
        <v>6</v>
      </c>
      <c r="F98">
        <v>2</v>
      </c>
      <c r="G98">
        <v>1</v>
      </c>
      <c r="H98">
        <v>0</v>
      </c>
      <c r="J98">
        <v>0</v>
      </c>
      <c r="K98" s="3">
        <v>0</v>
      </c>
      <c r="L98">
        <f t="shared" ref="L98:L124" ca="1" si="26">SUM(OFFSET($X$3:$X$17, $G98, MATCH($B98, $X$2:$AB$2, 0) - 1, 16 - $G98, 1))</f>
        <v>12086</v>
      </c>
      <c r="M98">
        <f t="shared" ref="M98:M124" ca="1" si="27">$L98-$H98</f>
        <v>12086</v>
      </c>
      <c r="N98">
        <f t="shared" ref="N98:N124" si="28">SUMIFS($X$29:$X$41, $W$29:$W$41, "&gt;" &amp; $G98)</f>
        <v>240625</v>
      </c>
      <c r="O98" cm="1">
        <f t="array" ref="O98">LEVEL_POSSIBLE($G98, $H98, $B98, $X$3:$AB$16, $X$2:$AB$2)</f>
        <v>1</v>
      </c>
      <c r="P98">
        <f t="shared" ref="P98:P124" ca="1" si="29">IFERROR(SUM(OFFSET($X$28:$X$41,$G98,0,$O98 - $G98,1)),0)</f>
        <v>0</v>
      </c>
      <c r="Q98" cm="1">
        <f t="array" ref="Q98">CARDS_NEEDED($G98, $H98, $B98, $X$3:$AB$16, $X$2:$AB$2, $O98)</f>
        <v>2</v>
      </c>
      <c r="R98">
        <f t="shared" ref="R98:R124" si="30">IF(G98=15,0,50000-$I98)</f>
        <v>50000</v>
      </c>
      <c r="S98">
        <f t="shared" ref="S98:S124" si="31">6-J98</f>
        <v>6</v>
      </c>
      <c r="T98">
        <f t="shared" ref="T98:T124" si="32">SUMIFS($X$45:$X$47, $W$45:$W$47, "&gt;"&amp;K98, $W$45:$W$47, "&lt;="&amp;F98)</f>
        <v>15000</v>
      </c>
      <c r="AI98"/>
    </row>
    <row r="99" spans="1:35" x14ac:dyDescent="0.3">
      <c r="A99" t="s">
        <v>37</v>
      </c>
      <c r="B99" t="s">
        <v>8</v>
      </c>
      <c r="C99">
        <v>94</v>
      </c>
      <c r="D99" t="s">
        <v>146</v>
      </c>
      <c r="E99">
        <v>5</v>
      </c>
      <c r="F99">
        <v>2</v>
      </c>
      <c r="G99">
        <v>1</v>
      </c>
      <c r="H99">
        <v>0</v>
      </c>
      <c r="K99" s="3">
        <v>0</v>
      </c>
      <c r="L99">
        <f t="shared" ca="1" si="26"/>
        <v>12086</v>
      </c>
      <c r="M99">
        <f t="shared" ca="1" si="27"/>
        <v>12086</v>
      </c>
      <c r="N99">
        <f t="shared" si="28"/>
        <v>240625</v>
      </c>
      <c r="O99" cm="1">
        <f t="array" ref="O99">LEVEL_POSSIBLE($G99, $H99, $B99, $X$3:$AB$16, $X$2:$AB$2)</f>
        <v>1</v>
      </c>
      <c r="P99">
        <f t="shared" ca="1" si="29"/>
        <v>0</v>
      </c>
      <c r="Q99" cm="1">
        <f t="array" ref="Q99">CARDS_NEEDED($G99, $H99, $B99, $X$3:$AB$16, $X$2:$AB$2, $O99)</f>
        <v>2</v>
      </c>
      <c r="R99">
        <f t="shared" si="30"/>
        <v>50000</v>
      </c>
      <c r="S99">
        <f t="shared" si="31"/>
        <v>6</v>
      </c>
      <c r="T99">
        <f t="shared" si="32"/>
        <v>15000</v>
      </c>
      <c r="AI99"/>
    </row>
    <row r="100" spans="1:35" x14ac:dyDescent="0.3">
      <c r="A100" t="s">
        <v>106</v>
      </c>
      <c r="B100" t="s">
        <v>8</v>
      </c>
      <c r="C100">
        <v>95</v>
      </c>
      <c r="D100" t="s">
        <v>146</v>
      </c>
      <c r="E100">
        <v>5</v>
      </c>
      <c r="F100">
        <v>3</v>
      </c>
      <c r="G100">
        <v>1</v>
      </c>
      <c r="H100">
        <v>0</v>
      </c>
      <c r="K100" s="3">
        <v>0</v>
      </c>
      <c r="L100">
        <f t="shared" ca="1" si="26"/>
        <v>12086</v>
      </c>
      <c r="M100">
        <f t="shared" ca="1" si="27"/>
        <v>12086</v>
      </c>
      <c r="N100">
        <f t="shared" si="28"/>
        <v>240625</v>
      </c>
      <c r="O100" cm="1">
        <f t="array" ref="O100">LEVEL_POSSIBLE($G100, $H100, $B100, $X$3:$AB$16, $X$2:$AB$2)</f>
        <v>1</v>
      </c>
      <c r="P100">
        <f t="shared" ca="1" si="29"/>
        <v>0</v>
      </c>
      <c r="Q100" cm="1">
        <f t="array" ref="Q100">CARDS_NEEDED($G100, $H100, $B100, $X$3:$AB$16, $X$2:$AB$2, $O100)</f>
        <v>2</v>
      </c>
      <c r="R100">
        <f t="shared" si="30"/>
        <v>50000</v>
      </c>
      <c r="S100">
        <f t="shared" si="31"/>
        <v>6</v>
      </c>
      <c r="T100">
        <f t="shared" si="32"/>
        <v>30000</v>
      </c>
      <c r="AI100"/>
    </row>
    <row r="101" spans="1:35" x14ac:dyDescent="0.3">
      <c r="A101" t="s">
        <v>46</v>
      </c>
      <c r="B101" t="s">
        <v>8</v>
      </c>
      <c r="C101">
        <v>96</v>
      </c>
      <c r="D101" t="s">
        <v>147</v>
      </c>
      <c r="E101">
        <v>5</v>
      </c>
      <c r="F101">
        <v>2</v>
      </c>
      <c r="G101">
        <v>1</v>
      </c>
      <c r="H101">
        <v>0</v>
      </c>
      <c r="J101">
        <v>0</v>
      </c>
      <c r="K101" s="3">
        <v>0</v>
      </c>
      <c r="L101">
        <f t="shared" ca="1" si="26"/>
        <v>12086</v>
      </c>
      <c r="M101">
        <f t="shared" ca="1" si="27"/>
        <v>12086</v>
      </c>
      <c r="N101">
        <f t="shared" si="28"/>
        <v>240625</v>
      </c>
      <c r="O101" cm="1">
        <f t="array" ref="O101">LEVEL_POSSIBLE($G101, $H101, $B101, $X$3:$AB$16, $X$2:$AB$2)</f>
        <v>1</v>
      </c>
      <c r="P101">
        <f t="shared" ca="1" si="29"/>
        <v>0</v>
      </c>
      <c r="Q101" cm="1">
        <f t="array" ref="Q101">CARDS_NEEDED($G101, $H101, $B101, $X$3:$AB$16, $X$2:$AB$2, $O101)</f>
        <v>2</v>
      </c>
      <c r="R101">
        <f t="shared" si="30"/>
        <v>50000</v>
      </c>
      <c r="S101">
        <f t="shared" si="31"/>
        <v>6</v>
      </c>
      <c r="T101">
        <f t="shared" si="32"/>
        <v>15000</v>
      </c>
      <c r="AI101"/>
    </row>
    <row r="102" spans="1:35" x14ac:dyDescent="0.3">
      <c r="A102" t="s">
        <v>101</v>
      </c>
      <c r="B102" t="s">
        <v>8</v>
      </c>
      <c r="C102">
        <v>97</v>
      </c>
      <c r="D102" t="s">
        <v>147</v>
      </c>
      <c r="E102">
        <v>4</v>
      </c>
      <c r="F102">
        <v>2</v>
      </c>
      <c r="G102">
        <v>1</v>
      </c>
      <c r="H102">
        <v>0</v>
      </c>
      <c r="J102">
        <v>0</v>
      </c>
      <c r="K102" s="3">
        <v>0</v>
      </c>
      <c r="L102">
        <f t="shared" ca="1" si="26"/>
        <v>12086</v>
      </c>
      <c r="M102">
        <f t="shared" ca="1" si="27"/>
        <v>12086</v>
      </c>
      <c r="N102">
        <f t="shared" si="28"/>
        <v>240625</v>
      </c>
      <c r="O102" cm="1">
        <f t="array" ref="O102">LEVEL_POSSIBLE($G102, $H102, $B102, $X$3:$AB$16, $X$2:$AB$2)</f>
        <v>1</v>
      </c>
      <c r="P102">
        <f t="shared" ca="1" si="29"/>
        <v>0</v>
      </c>
      <c r="Q102" cm="1">
        <f t="array" ref="Q102">CARDS_NEEDED($G102, $H102, $B102, $X$3:$AB$16, $X$2:$AB$2, $O102)</f>
        <v>2</v>
      </c>
      <c r="R102">
        <f t="shared" si="30"/>
        <v>50000</v>
      </c>
      <c r="S102">
        <f t="shared" si="31"/>
        <v>6</v>
      </c>
      <c r="T102">
        <f t="shared" si="32"/>
        <v>15000</v>
      </c>
      <c r="AI102"/>
    </row>
    <row r="103" spans="1:35" x14ac:dyDescent="0.3">
      <c r="A103" t="s">
        <v>64</v>
      </c>
      <c r="B103" t="s">
        <v>8</v>
      </c>
      <c r="C103">
        <v>98</v>
      </c>
      <c r="D103" t="s">
        <v>147</v>
      </c>
      <c r="E103">
        <v>4</v>
      </c>
      <c r="F103">
        <v>2</v>
      </c>
      <c r="G103">
        <v>1</v>
      </c>
      <c r="H103">
        <v>0</v>
      </c>
      <c r="J103">
        <v>0</v>
      </c>
      <c r="K103" s="3">
        <v>0</v>
      </c>
      <c r="L103">
        <f t="shared" ca="1" si="26"/>
        <v>12086</v>
      </c>
      <c r="M103">
        <f t="shared" ca="1" si="27"/>
        <v>12086</v>
      </c>
      <c r="N103">
        <f t="shared" si="28"/>
        <v>240625</v>
      </c>
      <c r="O103" cm="1">
        <f t="array" ref="O103">LEVEL_POSSIBLE($G103, $H103, $B103, $X$3:$AB$16, $X$2:$AB$2)</f>
        <v>1</v>
      </c>
      <c r="P103">
        <f t="shared" ca="1" si="29"/>
        <v>0</v>
      </c>
      <c r="Q103" cm="1">
        <f t="array" ref="Q103">CARDS_NEEDED($G103, $H103, $B103, $X$3:$AB$16, $X$2:$AB$2, $O103)</f>
        <v>2</v>
      </c>
      <c r="R103">
        <f t="shared" si="30"/>
        <v>50000</v>
      </c>
      <c r="S103">
        <f t="shared" si="31"/>
        <v>6</v>
      </c>
      <c r="T103">
        <f t="shared" si="32"/>
        <v>15000</v>
      </c>
      <c r="AI103"/>
    </row>
    <row r="104" spans="1:35" x14ac:dyDescent="0.3">
      <c r="A104" t="s">
        <v>48</v>
      </c>
      <c r="B104" t="s">
        <v>8</v>
      </c>
      <c r="C104">
        <v>99</v>
      </c>
      <c r="D104" t="s">
        <v>146</v>
      </c>
      <c r="E104">
        <v>4</v>
      </c>
      <c r="F104">
        <v>1</v>
      </c>
      <c r="G104">
        <v>1</v>
      </c>
      <c r="H104">
        <v>0</v>
      </c>
      <c r="K104" s="3">
        <v>0</v>
      </c>
      <c r="L104">
        <f t="shared" ca="1" si="26"/>
        <v>12086</v>
      </c>
      <c r="M104">
        <f t="shared" ca="1" si="27"/>
        <v>12086</v>
      </c>
      <c r="N104">
        <f t="shared" si="28"/>
        <v>240625</v>
      </c>
      <c r="O104" cm="1">
        <f t="array" ref="O104">LEVEL_POSSIBLE($G104, $H104, $B104, $X$3:$AB$16, $X$2:$AB$2)</f>
        <v>1</v>
      </c>
      <c r="P104">
        <f t="shared" ca="1" si="29"/>
        <v>0</v>
      </c>
      <c r="Q104" cm="1">
        <f t="array" ref="Q104">CARDS_NEEDED($G104, $H104, $B104, $X$3:$AB$16, $X$2:$AB$2, $O104)</f>
        <v>2</v>
      </c>
      <c r="R104">
        <f t="shared" si="30"/>
        <v>50000</v>
      </c>
      <c r="S104">
        <f t="shared" si="31"/>
        <v>6</v>
      </c>
      <c r="T104">
        <f t="shared" si="32"/>
        <v>5000</v>
      </c>
      <c r="AI104"/>
    </row>
    <row r="105" spans="1:35" x14ac:dyDescent="0.3">
      <c r="A105" t="s">
        <v>107</v>
      </c>
      <c r="B105" t="s">
        <v>8</v>
      </c>
      <c r="C105">
        <v>100</v>
      </c>
      <c r="D105" t="s">
        <v>146</v>
      </c>
      <c r="E105">
        <v>3</v>
      </c>
      <c r="F105">
        <v>1</v>
      </c>
      <c r="G105">
        <v>1</v>
      </c>
      <c r="H105">
        <v>0</v>
      </c>
      <c r="K105" s="3">
        <v>0</v>
      </c>
      <c r="L105">
        <f t="shared" ca="1" si="26"/>
        <v>12086</v>
      </c>
      <c r="M105">
        <f t="shared" ca="1" si="27"/>
        <v>12086</v>
      </c>
      <c r="N105">
        <f t="shared" si="28"/>
        <v>240625</v>
      </c>
      <c r="O105" cm="1">
        <f t="array" ref="O105">LEVEL_POSSIBLE($G105, $H105, $B105, $X$3:$AB$16, $X$2:$AB$2)</f>
        <v>1</v>
      </c>
      <c r="P105">
        <f t="shared" ca="1" si="29"/>
        <v>0</v>
      </c>
      <c r="Q105" cm="1">
        <f t="array" ref="Q105">CARDS_NEEDED($G105, $H105, $B105, $X$3:$AB$16, $X$2:$AB$2, $O105)</f>
        <v>2</v>
      </c>
      <c r="R105">
        <f t="shared" si="30"/>
        <v>50000</v>
      </c>
      <c r="S105">
        <f t="shared" si="31"/>
        <v>6</v>
      </c>
      <c r="T105">
        <f t="shared" si="32"/>
        <v>5000</v>
      </c>
      <c r="AI105"/>
    </row>
    <row r="106" spans="1:35" x14ac:dyDescent="0.3">
      <c r="A106" t="s">
        <v>108</v>
      </c>
      <c r="B106" t="s">
        <v>8</v>
      </c>
      <c r="C106">
        <v>101</v>
      </c>
      <c r="D106" t="s">
        <v>147</v>
      </c>
      <c r="E106">
        <v>3</v>
      </c>
      <c r="F106">
        <v>1</v>
      </c>
      <c r="G106">
        <v>1</v>
      </c>
      <c r="H106">
        <v>0</v>
      </c>
      <c r="J106">
        <v>0</v>
      </c>
      <c r="K106" s="3">
        <v>0</v>
      </c>
      <c r="L106">
        <f t="shared" ca="1" si="26"/>
        <v>12086</v>
      </c>
      <c r="M106">
        <f t="shared" ca="1" si="27"/>
        <v>12086</v>
      </c>
      <c r="N106">
        <f t="shared" si="28"/>
        <v>240625</v>
      </c>
      <c r="O106" cm="1">
        <f t="array" ref="O106">LEVEL_POSSIBLE($G106, $H106, $B106, $X$3:$AB$16, $X$2:$AB$2)</f>
        <v>1</v>
      </c>
      <c r="P106">
        <f t="shared" ca="1" si="29"/>
        <v>0</v>
      </c>
      <c r="Q106" cm="1">
        <f t="array" ref="Q106">CARDS_NEEDED($G106, $H106, $B106, $X$3:$AB$16, $X$2:$AB$2, $O106)</f>
        <v>2</v>
      </c>
      <c r="R106">
        <f t="shared" si="30"/>
        <v>50000</v>
      </c>
      <c r="S106">
        <f t="shared" si="31"/>
        <v>6</v>
      </c>
      <c r="T106">
        <f t="shared" si="32"/>
        <v>5000</v>
      </c>
      <c r="AI106"/>
    </row>
    <row r="107" spans="1:35" x14ac:dyDescent="0.3">
      <c r="A107" t="s">
        <v>124</v>
      </c>
      <c r="B107" t="s">
        <v>8</v>
      </c>
      <c r="C107">
        <v>102</v>
      </c>
      <c r="D107" t="s">
        <v>146</v>
      </c>
      <c r="E107">
        <v>3</v>
      </c>
      <c r="F107">
        <v>3</v>
      </c>
      <c r="G107">
        <v>1</v>
      </c>
      <c r="H107">
        <v>0</v>
      </c>
      <c r="K107" s="3">
        <v>0</v>
      </c>
      <c r="L107">
        <f t="shared" ca="1" si="26"/>
        <v>12086</v>
      </c>
      <c r="M107">
        <f t="shared" ca="1" si="27"/>
        <v>12086</v>
      </c>
      <c r="N107">
        <f t="shared" si="28"/>
        <v>240625</v>
      </c>
      <c r="O107" cm="1">
        <f t="array" ref="O107">LEVEL_POSSIBLE($G107, $H107, $B107, $X$3:$AB$16, $X$2:$AB$2)</f>
        <v>1</v>
      </c>
      <c r="P107">
        <f t="shared" ca="1" si="29"/>
        <v>0</v>
      </c>
      <c r="Q107" cm="1">
        <f t="array" ref="Q107">CARDS_NEEDED($G107, $H107, $B107, $X$3:$AB$16, $X$2:$AB$2, $O107)</f>
        <v>2</v>
      </c>
      <c r="R107">
        <f t="shared" si="30"/>
        <v>50000</v>
      </c>
      <c r="S107">
        <f t="shared" si="31"/>
        <v>6</v>
      </c>
      <c r="T107">
        <f t="shared" si="32"/>
        <v>30000</v>
      </c>
      <c r="AI107"/>
    </row>
    <row r="108" spans="1:35" x14ac:dyDescent="0.3">
      <c r="A108" t="s">
        <v>125</v>
      </c>
      <c r="B108" t="s">
        <v>8</v>
      </c>
      <c r="C108">
        <v>103</v>
      </c>
      <c r="D108" t="s">
        <v>146</v>
      </c>
      <c r="E108">
        <v>3</v>
      </c>
      <c r="F108">
        <v>3</v>
      </c>
      <c r="G108">
        <v>1</v>
      </c>
      <c r="H108">
        <v>0</v>
      </c>
      <c r="K108" s="3">
        <v>0</v>
      </c>
      <c r="L108">
        <f t="shared" ca="1" si="26"/>
        <v>12086</v>
      </c>
      <c r="M108">
        <f t="shared" ca="1" si="27"/>
        <v>12086</v>
      </c>
      <c r="N108">
        <f t="shared" si="28"/>
        <v>240625</v>
      </c>
      <c r="O108" cm="1">
        <f t="array" ref="O108">LEVEL_POSSIBLE($G108, $H108, $B108, $X$3:$AB$16, $X$2:$AB$2)</f>
        <v>1</v>
      </c>
      <c r="P108">
        <f t="shared" ca="1" si="29"/>
        <v>0</v>
      </c>
      <c r="Q108" cm="1">
        <f t="array" ref="Q108">CARDS_NEEDED($G108, $H108, $B108, $X$3:$AB$16, $X$2:$AB$2, $O108)</f>
        <v>2</v>
      </c>
      <c r="R108">
        <f t="shared" si="30"/>
        <v>50000</v>
      </c>
      <c r="S108">
        <f t="shared" si="31"/>
        <v>6</v>
      </c>
      <c r="T108">
        <f t="shared" si="32"/>
        <v>30000</v>
      </c>
      <c r="AI108"/>
    </row>
    <row r="109" spans="1:35" x14ac:dyDescent="0.3">
      <c r="A109" t="s">
        <v>89</v>
      </c>
      <c r="B109" t="s">
        <v>8</v>
      </c>
      <c r="C109">
        <v>104</v>
      </c>
      <c r="D109" t="s">
        <v>147</v>
      </c>
      <c r="E109">
        <v>3</v>
      </c>
      <c r="F109">
        <v>3</v>
      </c>
      <c r="G109">
        <v>1</v>
      </c>
      <c r="H109">
        <v>0</v>
      </c>
      <c r="J109">
        <v>0</v>
      </c>
      <c r="K109" s="3">
        <v>0</v>
      </c>
      <c r="L109">
        <f t="shared" ca="1" si="26"/>
        <v>12086</v>
      </c>
      <c r="M109">
        <f t="shared" ca="1" si="27"/>
        <v>12086</v>
      </c>
      <c r="N109">
        <f t="shared" si="28"/>
        <v>240625</v>
      </c>
      <c r="O109" cm="1">
        <f t="array" ref="O109">LEVEL_POSSIBLE($G109, $H109, $B109, $X$3:$AB$16, $X$2:$AB$2)</f>
        <v>1</v>
      </c>
      <c r="P109">
        <f t="shared" ca="1" si="29"/>
        <v>0</v>
      </c>
      <c r="Q109" cm="1">
        <f t="array" ref="Q109">CARDS_NEEDED($G109, $H109, $B109, $X$3:$AB$16, $X$2:$AB$2, $O109)</f>
        <v>2</v>
      </c>
      <c r="R109">
        <f t="shared" si="30"/>
        <v>50000</v>
      </c>
      <c r="S109">
        <f t="shared" si="31"/>
        <v>6</v>
      </c>
      <c r="T109">
        <f t="shared" si="32"/>
        <v>30000</v>
      </c>
      <c r="AI109"/>
    </row>
    <row r="110" spans="1:35" x14ac:dyDescent="0.3">
      <c r="A110" t="s">
        <v>96</v>
      </c>
      <c r="B110" t="s">
        <v>8</v>
      </c>
      <c r="C110">
        <v>105</v>
      </c>
      <c r="D110" t="s">
        <v>146</v>
      </c>
      <c r="E110">
        <v>3</v>
      </c>
      <c r="F110">
        <v>3</v>
      </c>
      <c r="G110">
        <v>1</v>
      </c>
      <c r="H110">
        <v>0</v>
      </c>
      <c r="K110" s="3">
        <v>0</v>
      </c>
      <c r="L110">
        <f t="shared" ca="1" si="26"/>
        <v>12086</v>
      </c>
      <c r="M110">
        <f t="shared" ca="1" si="27"/>
        <v>12086</v>
      </c>
      <c r="N110">
        <f t="shared" si="28"/>
        <v>240625</v>
      </c>
      <c r="O110" cm="1">
        <f t="array" ref="O110">LEVEL_POSSIBLE($G110, $H110, $B110, $X$3:$AB$16, $X$2:$AB$2)</f>
        <v>1</v>
      </c>
      <c r="P110">
        <f t="shared" ca="1" si="29"/>
        <v>0</v>
      </c>
      <c r="Q110" cm="1">
        <f t="array" ref="Q110">CARDS_NEEDED($G110, $H110, $B110, $X$3:$AB$16, $X$2:$AB$2, $O110)</f>
        <v>2</v>
      </c>
      <c r="R110">
        <f t="shared" si="30"/>
        <v>50000</v>
      </c>
      <c r="S110">
        <f t="shared" si="31"/>
        <v>6</v>
      </c>
      <c r="T110">
        <f t="shared" si="32"/>
        <v>30000</v>
      </c>
      <c r="AI110"/>
    </row>
    <row r="111" spans="1:35" x14ac:dyDescent="0.3">
      <c r="A111" t="s">
        <v>14</v>
      </c>
      <c r="B111" t="s">
        <v>8</v>
      </c>
      <c r="C111">
        <v>106</v>
      </c>
      <c r="D111" t="s">
        <v>146</v>
      </c>
      <c r="E111">
        <v>3</v>
      </c>
      <c r="F111">
        <v>3</v>
      </c>
      <c r="G111">
        <v>1</v>
      </c>
      <c r="H111">
        <v>0</v>
      </c>
      <c r="K111" s="3">
        <v>0</v>
      </c>
      <c r="L111">
        <f t="shared" ca="1" si="26"/>
        <v>12086</v>
      </c>
      <c r="M111">
        <f t="shared" ca="1" si="27"/>
        <v>12086</v>
      </c>
      <c r="N111">
        <f t="shared" si="28"/>
        <v>240625</v>
      </c>
      <c r="O111" cm="1">
        <f t="array" ref="O111">LEVEL_POSSIBLE($G111, $H111, $B111, $X$3:$AB$16, $X$2:$AB$2)</f>
        <v>1</v>
      </c>
      <c r="P111">
        <f t="shared" ca="1" si="29"/>
        <v>0</v>
      </c>
      <c r="Q111" cm="1">
        <f t="array" ref="Q111">CARDS_NEEDED($G111, $H111, $B111, $X$3:$AB$16, $X$2:$AB$2, $O111)</f>
        <v>2</v>
      </c>
      <c r="R111">
        <f t="shared" si="30"/>
        <v>50000</v>
      </c>
      <c r="S111">
        <f t="shared" si="31"/>
        <v>6</v>
      </c>
      <c r="T111">
        <f t="shared" si="32"/>
        <v>30000</v>
      </c>
      <c r="AI111"/>
    </row>
    <row r="112" spans="1:35" x14ac:dyDescent="0.3">
      <c r="A112" t="s">
        <v>12</v>
      </c>
      <c r="B112" t="s">
        <v>8</v>
      </c>
      <c r="C112">
        <v>107</v>
      </c>
      <c r="D112" t="s">
        <v>147</v>
      </c>
      <c r="E112">
        <v>3</v>
      </c>
      <c r="F112">
        <v>2</v>
      </c>
      <c r="G112">
        <v>1</v>
      </c>
      <c r="H112">
        <v>0</v>
      </c>
      <c r="J112">
        <v>0</v>
      </c>
      <c r="K112" s="3">
        <v>0</v>
      </c>
      <c r="L112">
        <f t="shared" ca="1" si="26"/>
        <v>12086</v>
      </c>
      <c r="M112">
        <f t="shared" ca="1" si="27"/>
        <v>12086</v>
      </c>
      <c r="N112">
        <f t="shared" si="28"/>
        <v>240625</v>
      </c>
      <c r="O112" cm="1">
        <f t="array" ref="O112">LEVEL_POSSIBLE($G112, $H112, $B112, $X$3:$AB$16, $X$2:$AB$2)</f>
        <v>1</v>
      </c>
      <c r="P112">
        <f t="shared" ca="1" si="29"/>
        <v>0</v>
      </c>
      <c r="Q112" cm="1">
        <f t="array" ref="Q112">CARDS_NEEDED($G112, $H112, $B112, $X$3:$AB$16, $X$2:$AB$2, $O112)</f>
        <v>2</v>
      </c>
      <c r="R112">
        <f t="shared" si="30"/>
        <v>50000</v>
      </c>
      <c r="S112">
        <f t="shared" si="31"/>
        <v>6</v>
      </c>
      <c r="T112">
        <f t="shared" si="32"/>
        <v>15000</v>
      </c>
      <c r="AI112"/>
    </row>
    <row r="113" spans="1:36" x14ac:dyDescent="0.3">
      <c r="A113" t="s">
        <v>3</v>
      </c>
      <c r="B113" t="s">
        <v>8</v>
      </c>
      <c r="C113">
        <v>108</v>
      </c>
      <c r="D113" t="s">
        <v>147</v>
      </c>
      <c r="E113">
        <v>3</v>
      </c>
      <c r="F113">
        <v>3</v>
      </c>
      <c r="G113">
        <v>1</v>
      </c>
      <c r="H113">
        <v>0</v>
      </c>
      <c r="J113">
        <v>0</v>
      </c>
      <c r="K113" s="3">
        <v>0</v>
      </c>
      <c r="L113">
        <f t="shared" ca="1" si="26"/>
        <v>12086</v>
      </c>
      <c r="M113">
        <f t="shared" ca="1" si="27"/>
        <v>12086</v>
      </c>
      <c r="N113">
        <f t="shared" si="28"/>
        <v>240625</v>
      </c>
      <c r="O113" cm="1">
        <f t="array" ref="O113">LEVEL_POSSIBLE($G113, $H113, $B113, $X$3:$AB$16, $X$2:$AB$2)</f>
        <v>1</v>
      </c>
      <c r="P113">
        <f t="shared" ca="1" si="29"/>
        <v>0</v>
      </c>
      <c r="Q113" cm="1">
        <f t="array" ref="Q113">CARDS_NEEDED($G113, $H113, $B113, $X$3:$AB$16, $X$2:$AB$2, $O113)</f>
        <v>2</v>
      </c>
      <c r="R113">
        <f t="shared" si="30"/>
        <v>50000</v>
      </c>
      <c r="S113">
        <f t="shared" si="31"/>
        <v>6</v>
      </c>
      <c r="T113">
        <f t="shared" si="32"/>
        <v>30000</v>
      </c>
      <c r="AI113"/>
    </row>
    <row r="114" spans="1:36" x14ac:dyDescent="0.3">
      <c r="A114" t="s">
        <v>164</v>
      </c>
      <c r="B114" t="s">
        <v>8</v>
      </c>
      <c r="C114">
        <v>109</v>
      </c>
      <c r="D114" t="s">
        <v>146</v>
      </c>
      <c r="E114">
        <v>2</v>
      </c>
      <c r="F114">
        <v>1</v>
      </c>
      <c r="G114">
        <v>1</v>
      </c>
      <c r="H114">
        <v>0</v>
      </c>
      <c r="K114" s="3">
        <v>0</v>
      </c>
      <c r="L114">
        <f t="shared" ca="1" si="26"/>
        <v>12086</v>
      </c>
      <c r="M114">
        <f t="shared" ca="1" si="27"/>
        <v>12086</v>
      </c>
      <c r="N114">
        <f t="shared" si="28"/>
        <v>240625</v>
      </c>
      <c r="O114" cm="1">
        <f t="array" ref="O114">LEVEL_POSSIBLE($G114, $H114, $B114, $X$3:$AB$16, $X$2:$AB$2)</f>
        <v>1</v>
      </c>
      <c r="P114">
        <f t="shared" ca="1" si="29"/>
        <v>0</v>
      </c>
      <c r="Q114" cm="1">
        <f t="array" ref="Q114">CARDS_NEEDED($G114, $H114, $B114, $X$3:$AB$16, $X$2:$AB$2, $O114)</f>
        <v>2</v>
      </c>
      <c r="R114">
        <f t="shared" si="30"/>
        <v>50000</v>
      </c>
      <c r="S114">
        <f t="shared" si="31"/>
        <v>6</v>
      </c>
      <c r="T114">
        <f t="shared" si="32"/>
        <v>5000</v>
      </c>
      <c r="AI114"/>
    </row>
    <row r="115" spans="1:36" x14ac:dyDescent="0.3">
      <c r="A115" t="s">
        <v>15</v>
      </c>
      <c r="B115" t="s">
        <v>8</v>
      </c>
      <c r="C115">
        <v>110</v>
      </c>
      <c r="D115" t="s">
        <v>146</v>
      </c>
      <c r="E115">
        <v>2</v>
      </c>
      <c r="F115">
        <v>1</v>
      </c>
      <c r="G115">
        <v>1</v>
      </c>
      <c r="H115">
        <v>0</v>
      </c>
      <c r="K115" s="3">
        <v>0</v>
      </c>
      <c r="L115">
        <f t="shared" ca="1" si="26"/>
        <v>12086</v>
      </c>
      <c r="M115">
        <f t="shared" ca="1" si="27"/>
        <v>12086</v>
      </c>
      <c r="N115">
        <f t="shared" si="28"/>
        <v>240625</v>
      </c>
      <c r="O115" cm="1">
        <f t="array" ref="O115">LEVEL_POSSIBLE($G115, $H115, $B115, $X$3:$AB$16, $X$2:$AB$2)</f>
        <v>1</v>
      </c>
      <c r="P115">
        <f t="shared" ca="1" si="29"/>
        <v>0</v>
      </c>
      <c r="Q115" cm="1">
        <f t="array" ref="Q115">CARDS_NEEDED($G115, $H115, $B115, $X$3:$AB$16, $X$2:$AB$2, $O115)</f>
        <v>2</v>
      </c>
      <c r="R115">
        <f t="shared" si="30"/>
        <v>50000</v>
      </c>
      <c r="S115">
        <f t="shared" si="31"/>
        <v>6</v>
      </c>
      <c r="T115">
        <f t="shared" si="32"/>
        <v>5000</v>
      </c>
      <c r="AI115"/>
    </row>
    <row r="116" spans="1:36" x14ac:dyDescent="0.3">
      <c r="A116" t="s">
        <v>109</v>
      </c>
      <c r="B116" t="s">
        <v>8</v>
      </c>
      <c r="C116">
        <v>111</v>
      </c>
      <c r="D116" t="s">
        <v>147</v>
      </c>
      <c r="E116">
        <v>2</v>
      </c>
      <c r="F116">
        <v>1</v>
      </c>
      <c r="G116">
        <v>1</v>
      </c>
      <c r="H116">
        <v>0</v>
      </c>
      <c r="J116">
        <v>0</v>
      </c>
      <c r="K116" s="3">
        <v>0</v>
      </c>
      <c r="L116">
        <f t="shared" ca="1" si="26"/>
        <v>12086</v>
      </c>
      <c r="M116">
        <f t="shared" ca="1" si="27"/>
        <v>12086</v>
      </c>
      <c r="N116">
        <f t="shared" si="28"/>
        <v>240625</v>
      </c>
      <c r="O116" cm="1">
        <f t="array" ref="O116">LEVEL_POSSIBLE($G116, $H116, $B116, $X$3:$AB$16, $X$2:$AB$2)</f>
        <v>1</v>
      </c>
      <c r="P116">
        <f t="shared" ca="1" si="29"/>
        <v>0</v>
      </c>
      <c r="Q116" cm="1">
        <f t="array" ref="Q116">CARDS_NEEDED($G116, $H116, $B116, $X$3:$AB$16, $X$2:$AB$2, $O116)</f>
        <v>2</v>
      </c>
      <c r="R116">
        <f t="shared" si="30"/>
        <v>50000</v>
      </c>
      <c r="S116">
        <f t="shared" si="31"/>
        <v>6</v>
      </c>
      <c r="T116">
        <f t="shared" si="32"/>
        <v>5000</v>
      </c>
      <c r="AI116"/>
    </row>
    <row r="117" spans="1:36" x14ac:dyDescent="0.3">
      <c r="A117" t="s">
        <v>16</v>
      </c>
      <c r="B117" t="s">
        <v>8</v>
      </c>
      <c r="C117">
        <v>112</v>
      </c>
      <c r="D117" t="s">
        <v>147</v>
      </c>
      <c r="E117">
        <v>2</v>
      </c>
      <c r="F117">
        <v>2</v>
      </c>
      <c r="G117">
        <v>1</v>
      </c>
      <c r="H117">
        <v>0</v>
      </c>
      <c r="J117">
        <v>0</v>
      </c>
      <c r="K117" s="3">
        <v>0</v>
      </c>
      <c r="L117">
        <f t="shared" ca="1" si="26"/>
        <v>12086</v>
      </c>
      <c r="M117">
        <f t="shared" ca="1" si="27"/>
        <v>12086</v>
      </c>
      <c r="N117">
        <f t="shared" si="28"/>
        <v>240625</v>
      </c>
      <c r="O117" cm="1">
        <f t="array" ref="O117">LEVEL_POSSIBLE($G117, $H117, $B117, $X$3:$AB$16, $X$2:$AB$2)</f>
        <v>1</v>
      </c>
      <c r="P117">
        <f t="shared" ca="1" si="29"/>
        <v>0</v>
      </c>
      <c r="Q117" cm="1">
        <f t="array" ref="Q117">CARDS_NEEDED($G117, $H117, $B117, $X$3:$AB$16, $X$2:$AB$2, $O117)</f>
        <v>2</v>
      </c>
      <c r="R117">
        <f t="shared" si="30"/>
        <v>50000</v>
      </c>
      <c r="S117">
        <f t="shared" si="31"/>
        <v>6</v>
      </c>
      <c r="T117">
        <f t="shared" si="32"/>
        <v>15000</v>
      </c>
      <c r="AI117"/>
    </row>
    <row r="118" spans="1:36" x14ac:dyDescent="0.3">
      <c r="A118" t="s">
        <v>4</v>
      </c>
      <c r="B118" t="s">
        <v>8</v>
      </c>
      <c r="C118">
        <v>113</v>
      </c>
      <c r="D118" t="s">
        <v>147</v>
      </c>
      <c r="E118">
        <v>2</v>
      </c>
      <c r="F118">
        <v>2</v>
      </c>
      <c r="G118">
        <v>1</v>
      </c>
      <c r="H118">
        <v>0</v>
      </c>
      <c r="J118">
        <v>0</v>
      </c>
      <c r="K118" s="3">
        <v>0</v>
      </c>
      <c r="L118">
        <f t="shared" ca="1" si="26"/>
        <v>12086</v>
      </c>
      <c r="M118">
        <f t="shared" ca="1" si="27"/>
        <v>12086</v>
      </c>
      <c r="N118">
        <f t="shared" si="28"/>
        <v>240625</v>
      </c>
      <c r="O118" cm="1">
        <f t="array" ref="O118">LEVEL_POSSIBLE($G118, $H118, $B118, $X$3:$AB$16, $X$2:$AB$2)</f>
        <v>1</v>
      </c>
      <c r="P118">
        <f t="shared" ca="1" si="29"/>
        <v>0</v>
      </c>
      <c r="Q118" cm="1">
        <f t="array" ref="Q118">CARDS_NEEDED($G118, $H118, $B118, $X$3:$AB$16, $X$2:$AB$2, $O118)</f>
        <v>2</v>
      </c>
      <c r="R118">
        <f t="shared" si="30"/>
        <v>50000</v>
      </c>
      <c r="S118">
        <f t="shared" si="31"/>
        <v>6</v>
      </c>
      <c r="T118">
        <f t="shared" si="32"/>
        <v>15000</v>
      </c>
      <c r="AI118"/>
    </row>
    <row r="119" spans="1:36" x14ac:dyDescent="0.3">
      <c r="A119" t="s">
        <v>126</v>
      </c>
      <c r="B119" t="s">
        <v>8</v>
      </c>
      <c r="C119">
        <v>114</v>
      </c>
      <c r="D119" t="s">
        <v>146</v>
      </c>
      <c r="E119">
        <v>2</v>
      </c>
      <c r="F119">
        <v>3</v>
      </c>
      <c r="G119">
        <v>1</v>
      </c>
      <c r="H119">
        <v>0</v>
      </c>
      <c r="K119" s="3">
        <v>0</v>
      </c>
      <c r="L119">
        <f t="shared" ca="1" si="26"/>
        <v>12086</v>
      </c>
      <c r="M119">
        <f t="shared" ca="1" si="27"/>
        <v>12086</v>
      </c>
      <c r="N119">
        <f t="shared" si="28"/>
        <v>240625</v>
      </c>
      <c r="O119" cm="1">
        <f t="array" ref="O119">LEVEL_POSSIBLE($G119, $H119, $B119, $X$3:$AB$16, $X$2:$AB$2)</f>
        <v>1</v>
      </c>
      <c r="P119">
        <f t="shared" ca="1" si="29"/>
        <v>0</v>
      </c>
      <c r="Q119" cm="1">
        <f t="array" ref="Q119">CARDS_NEEDED($G119, $H119, $B119, $X$3:$AB$16, $X$2:$AB$2, $O119)</f>
        <v>2</v>
      </c>
      <c r="R119">
        <f t="shared" si="30"/>
        <v>50000</v>
      </c>
      <c r="S119">
        <f t="shared" si="31"/>
        <v>6</v>
      </c>
      <c r="T119">
        <f t="shared" si="32"/>
        <v>30000</v>
      </c>
      <c r="AI119"/>
    </row>
    <row r="120" spans="1:36" x14ac:dyDescent="0.3">
      <c r="A120" t="s">
        <v>79</v>
      </c>
      <c r="B120" t="s">
        <v>8</v>
      </c>
      <c r="C120">
        <v>115</v>
      </c>
      <c r="D120" t="s">
        <v>146</v>
      </c>
      <c r="E120">
        <v>2</v>
      </c>
      <c r="F120">
        <v>3</v>
      </c>
      <c r="G120">
        <v>1</v>
      </c>
      <c r="H120">
        <v>0</v>
      </c>
      <c r="K120" s="3">
        <v>0</v>
      </c>
      <c r="L120">
        <f t="shared" ca="1" si="26"/>
        <v>12086</v>
      </c>
      <c r="M120">
        <f t="shared" ca="1" si="27"/>
        <v>12086</v>
      </c>
      <c r="N120">
        <f t="shared" si="28"/>
        <v>240625</v>
      </c>
      <c r="O120" cm="1">
        <f t="array" ref="O120">LEVEL_POSSIBLE($G120, $H120, $B120, $X$3:$AB$16, $X$2:$AB$2)</f>
        <v>1</v>
      </c>
      <c r="P120">
        <f t="shared" ca="1" si="29"/>
        <v>0</v>
      </c>
      <c r="Q120" cm="1">
        <f t="array" ref="Q120">CARDS_NEEDED($G120, $H120, $B120, $X$3:$AB$16, $X$2:$AB$2, $O120)</f>
        <v>2</v>
      </c>
      <c r="R120">
        <f t="shared" si="30"/>
        <v>50000</v>
      </c>
      <c r="S120">
        <f t="shared" si="31"/>
        <v>6</v>
      </c>
      <c r="T120">
        <f t="shared" si="32"/>
        <v>30000</v>
      </c>
      <c r="AI120"/>
    </row>
    <row r="121" spans="1:36" x14ac:dyDescent="0.3">
      <c r="A121" t="s">
        <v>110</v>
      </c>
      <c r="B121" t="s">
        <v>8</v>
      </c>
      <c r="C121">
        <v>116</v>
      </c>
      <c r="D121" t="s">
        <v>147</v>
      </c>
      <c r="E121">
        <v>1</v>
      </c>
      <c r="F121">
        <v>1</v>
      </c>
      <c r="G121">
        <v>1</v>
      </c>
      <c r="H121">
        <v>0</v>
      </c>
      <c r="J121">
        <v>0</v>
      </c>
      <c r="K121" s="3">
        <v>0</v>
      </c>
      <c r="L121">
        <f t="shared" ca="1" si="26"/>
        <v>12086</v>
      </c>
      <c r="M121">
        <f t="shared" ca="1" si="27"/>
        <v>12086</v>
      </c>
      <c r="N121">
        <f t="shared" si="28"/>
        <v>240625</v>
      </c>
      <c r="O121" cm="1">
        <f t="array" ref="O121">LEVEL_POSSIBLE($G121, $H121, $B121, $X$3:$AB$16, $X$2:$AB$2)</f>
        <v>1</v>
      </c>
      <c r="P121">
        <f t="shared" ca="1" si="29"/>
        <v>0</v>
      </c>
      <c r="Q121" cm="1">
        <f t="array" ref="Q121">CARDS_NEEDED($G121, $H121, $B121, $X$3:$AB$16, $X$2:$AB$2, $O121)</f>
        <v>2</v>
      </c>
      <c r="R121">
        <f t="shared" si="30"/>
        <v>50000</v>
      </c>
      <c r="S121">
        <f t="shared" si="31"/>
        <v>6</v>
      </c>
      <c r="T121">
        <f t="shared" si="32"/>
        <v>5000</v>
      </c>
      <c r="AI121"/>
    </row>
    <row r="122" spans="1:36" x14ac:dyDescent="0.3">
      <c r="A122" t="s">
        <v>111</v>
      </c>
      <c r="B122" t="s">
        <v>8</v>
      </c>
      <c r="C122">
        <v>117</v>
      </c>
      <c r="D122" t="s">
        <v>146</v>
      </c>
      <c r="E122">
        <v>1</v>
      </c>
      <c r="F122">
        <v>1</v>
      </c>
      <c r="G122">
        <v>1</v>
      </c>
      <c r="H122">
        <v>0</v>
      </c>
      <c r="K122" s="3">
        <v>0</v>
      </c>
      <c r="L122">
        <f t="shared" ca="1" si="26"/>
        <v>12086</v>
      </c>
      <c r="M122">
        <f t="shared" ca="1" si="27"/>
        <v>12086</v>
      </c>
      <c r="N122">
        <f t="shared" si="28"/>
        <v>240625</v>
      </c>
      <c r="O122" cm="1">
        <f t="array" ref="O122">LEVEL_POSSIBLE($G122, $H122, $B122, $X$3:$AB$16, $X$2:$AB$2)</f>
        <v>1</v>
      </c>
      <c r="P122">
        <f t="shared" ca="1" si="29"/>
        <v>0</v>
      </c>
      <c r="Q122" cm="1">
        <f t="array" ref="Q122">CARDS_NEEDED($G122, $H122, $B122, $X$3:$AB$16, $X$2:$AB$2, $O122)</f>
        <v>2</v>
      </c>
      <c r="R122">
        <f t="shared" si="30"/>
        <v>50000</v>
      </c>
      <c r="S122">
        <f t="shared" si="31"/>
        <v>6</v>
      </c>
      <c r="T122">
        <f t="shared" si="32"/>
        <v>5000</v>
      </c>
      <c r="AI122"/>
    </row>
    <row r="123" spans="1:36" x14ac:dyDescent="0.3">
      <c r="A123" t="s">
        <v>127</v>
      </c>
      <c r="B123" t="s">
        <v>8</v>
      </c>
      <c r="C123">
        <v>118</v>
      </c>
      <c r="D123" t="s">
        <v>146</v>
      </c>
      <c r="E123">
        <v>1</v>
      </c>
      <c r="F123">
        <v>1</v>
      </c>
      <c r="G123">
        <v>1</v>
      </c>
      <c r="H123">
        <v>0</v>
      </c>
      <c r="K123" s="3">
        <v>0</v>
      </c>
      <c r="L123">
        <f t="shared" ca="1" si="26"/>
        <v>12086</v>
      </c>
      <c r="M123">
        <f t="shared" ca="1" si="27"/>
        <v>12086</v>
      </c>
      <c r="N123">
        <f t="shared" si="28"/>
        <v>240625</v>
      </c>
      <c r="O123" cm="1">
        <f t="array" ref="O123">LEVEL_POSSIBLE($G123, $H123, $B123, $X$3:$AB$16, $X$2:$AB$2)</f>
        <v>1</v>
      </c>
      <c r="P123">
        <f t="shared" ca="1" si="29"/>
        <v>0</v>
      </c>
      <c r="Q123" cm="1">
        <f t="array" ref="Q123">CARDS_NEEDED($G123, $H123, $B123, $X$3:$AB$16, $X$2:$AB$2, $O123)</f>
        <v>2</v>
      </c>
      <c r="R123">
        <f t="shared" si="30"/>
        <v>50000</v>
      </c>
      <c r="S123">
        <f t="shared" si="31"/>
        <v>6</v>
      </c>
      <c r="T123">
        <f t="shared" si="32"/>
        <v>5000</v>
      </c>
      <c r="AI123"/>
      <c r="AJ123" s="2"/>
    </row>
    <row r="124" spans="1:36" x14ac:dyDescent="0.3">
      <c r="A124" t="s">
        <v>97</v>
      </c>
      <c r="B124" t="s">
        <v>8</v>
      </c>
      <c r="C124">
        <v>119</v>
      </c>
      <c r="D124" t="s">
        <v>147</v>
      </c>
      <c r="E124">
        <v>1</v>
      </c>
      <c r="F124">
        <v>3</v>
      </c>
      <c r="G124">
        <v>1</v>
      </c>
      <c r="H124">
        <v>0</v>
      </c>
      <c r="J124">
        <v>0</v>
      </c>
      <c r="K124" s="3">
        <v>0</v>
      </c>
      <c r="L124">
        <f t="shared" ca="1" si="26"/>
        <v>12086</v>
      </c>
      <c r="M124">
        <f t="shared" ca="1" si="27"/>
        <v>12086</v>
      </c>
      <c r="N124">
        <f t="shared" si="28"/>
        <v>240625</v>
      </c>
      <c r="O124" cm="1">
        <f t="array" ref="O124">LEVEL_POSSIBLE($G124, $H124, $B124, $X$3:$AB$16, $X$2:$AB$2)</f>
        <v>1</v>
      </c>
      <c r="P124">
        <f t="shared" ca="1" si="29"/>
        <v>0</v>
      </c>
      <c r="Q124" cm="1">
        <f t="array" ref="Q124">CARDS_NEEDED($G124, $H124, $B124, $X$3:$AB$16, $X$2:$AB$2, $O124)</f>
        <v>2</v>
      </c>
      <c r="R124">
        <f t="shared" si="30"/>
        <v>50000</v>
      </c>
      <c r="S124">
        <f t="shared" si="31"/>
        <v>6</v>
      </c>
      <c r="T124">
        <f t="shared" si="32"/>
        <v>30000</v>
      </c>
    </row>
  </sheetData>
  <mergeCells count="5">
    <mergeCell ref="W1:AB1"/>
    <mergeCell ref="W26:X26"/>
    <mergeCell ref="AG1:AL1"/>
    <mergeCell ref="AG28:AI28"/>
    <mergeCell ref="AG58:AH58"/>
  </mergeCells>
  <phoneticPr fontId="1" type="noConversion"/>
  <conditionalFormatting sqref="M2:M124 S2:S124">
    <cfRule type="cellIs" dxfId="12" priority="3" operator="lessThan">
      <formula>0</formula>
    </cfRule>
  </conditionalFormatting>
  <conditionalFormatting sqref="J2:J124">
    <cfRule type="expression" dxfId="11" priority="7">
      <formula>$D2="N"</formula>
    </cfRule>
    <cfRule type="expression" dxfId="10" priority="8">
      <formula>J2=6</formula>
    </cfRule>
  </conditionalFormatting>
  <conditionalFormatting sqref="R2:S124">
    <cfRule type="cellIs" dxfId="9" priority="9" operator="equal">
      <formula>0</formula>
    </cfRule>
  </conditionalFormatting>
  <conditionalFormatting sqref="I2:I124">
    <cfRule type="expression" dxfId="8" priority="4">
      <formula>$G2&lt;14</formula>
    </cfRule>
    <cfRule type="cellIs" dxfId="7" priority="6" operator="equal">
      <formula>50000</formula>
    </cfRule>
  </conditionalFormatting>
  <conditionalFormatting sqref="R2:R124">
    <cfRule type="expression" dxfId="6" priority="2">
      <formula>ISBLANK(I2)</formula>
    </cfRule>
  </conditionalFormatting>
  <conditionalFormatting sqref="S2:S124">
    <cfRule type="expression" dxfId="5" priority="1">
      <formula>ISBLANK(J2)</formula>
    </cfRule>
  </conditionalFormatting>
  <dataValidations count="6">
    <dataValidation type="custom" allowBlank="1" showInputMessage="1" showErrorMessage="1" errorTitle="Wrong Input!" error="Either the card is not yet at level 14 or you have not entered a number between 0 and 50000." promptTitle="Insert amount here" prompt="Enter the number of Elite Jokers already added." sqref="I2:I80 I83:I122" xr:uid="{2AABE989-1B03-427B-8D18-D733909D697A}">
      <formula1>AND(G2&gt;=14, INT(I2)=I2, I2&gt;=0, I2&lt;=50000)</formula1>
    </dataValidation>
    <dataValidation type="custom" allowBlank="1" showInputMessage="1" showErrorMessage="1" errorTitle="Wrong Input!" error="Either the card is not yet at level 14 or you have not entered a number between 0 and 50000." promptTitle="Insert amount here" prompt="Enter the number of Elite Jokers already added." sqref="I81" xr:uid="{0382EF41-6FCB-4049-B621-F1251E408695}">
      <formula1>AND(G82&gt;=14, INT(I81)=I81, I81&gt;=0, I81&lt;=50000)</formula1>
    </dataValidation>
    <dataValidation type="custom" allowBlank="1" showInputMessage="1" showErrorMessage="1" errorTitle="Wrong input" error="Either this card has no evolution or you have entered a value that is not between 0 and 6" promptTitle="Insert amount here" prompt="Enter the number of Evolution-Shards already collected" sqref="J2:J124" xr:uid="{508883B9-77EF-421E-BF25-94A98AF3C635}">
      <formula1>AND(ISNUMBER(J2), J2&gt;=0, J2&lt;=6, D2="Y")</formula1>
    </dataValidation>
    <dataValidation type="custom" allowBlank="1" showInputMessage="1" showErrorMessage="1" errorTitle="Wrong input" error="The card must have an integer level between 1 and 15" promptTitle="Insert level here" prompt="Insert current level of the card" sqref="G2:G124" xr:uid="{F21277C3-0453-4059-B695-92300F7AA887}">
      <formula1>AND(ISNUMBER(G2), G2&gt;0, G2&lt;=15)</formula1>
    </dataValidation>
    <dataValidation type="custom" allowBlank="1" showInputMessage="1" showErrorMessage="1" errorTitle="Wrong input" error="You can have collected between 0 and 15000 cards. If you have more than 15000 cards, you should upgrade things._x000a_If you have collected more than 15000 legendary cards, I'm afraid of you." promptTitle="Insert amount here" sqref="H2:H124" xr:uid="{9FA1614E-23A7-45F0-982D-DBC1946D8589}">
      <formula1>AND(ISNUMBER(G2), H2&gt;=0, H2&lt;=15000)</formula1>
    </dataValidation>
    <dataValidation type="whole" allowBlank="1" showInputMessage="1" showErrorMessage="1" errorTitle="Wrong input" error="Either this card has no evolution or you have entered a value that is not between 0 and 6" promptTitle="Insert amount here" prompt="Enter an integer between 0 and 3." sqref="K2:K124" xr:uid="{8354DECD-5B72-4963-BF43-7B186D3FCBD4}">
      <formula1>0</formula1>
      <formula2>3</formula2>
    </dataValidation>
  </dataValidations>
  <pageMargins left="0.7" right="0.7" top="0.78740157499999996" bottom="0.78740157499999996" header="0.3" footer="0.3"/>
  <pageSetup paperSize="9" orientation="portrait" horizontalDpi="300" verticalDpi="300" r:id="rId1"/>
  <ignoredErrors>
    <ignoredError sqref="AI33" formula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Schulz</dc:creator>
  <cp:lastModifiedBy>Tom Schulz</cp:lastModifiedBy>
  <dcterms:created xsi:type="dcterms:W3CDTF">2024-11-12T11:35:53Z</dcterms:created>
  <dcterms:modified xsi:type="dcterms:W3CDTF">2025-05-14T07:52:15Z</dcterms:modified>
</cp:coreProperties>
</file>